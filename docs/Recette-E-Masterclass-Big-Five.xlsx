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ette fonctionnelle" sheetId="2" state="visible" r:id="rId2"/>
    <sheet name="Points manquants" sheetId="3" state="visible" r:id="rId3"/>
    <sheet name="Paiement — FeexPay" sheetId="4" state="visible" r:id="rId4"/>
    <sheet name="Comptes et clés" sheetId="5" state="visible" r:id="rId5"/>
    <sheet name="Conformité SEO" sheetId="6" state="visible" r:id="rId6"/>
    <sheet name="Couverture e-mail" sheetId="7" state="visible" r:id="rId7"/>
  </sheets>
  <definedNames>
    <definedName name="_xlnm._FilterDatabase" localSheetId="1" hidden="1">'Recette fonctionnelle'!$A$4:$J$150</definedName>
    <definedName name="_xlnm.Print_Titles" localSheetId="1">'Recette fonctionnelle'!$4:$4</definedName>
    <definedName name="_xlnm._FilterDatabase" localSheetId="2" hidden="1">'Points manquants'!$A$4:$H$32</definedName>
    <definedName name="_xlnm.Print_Titles" localSheetId="2">'Points manquants'!$4:$4</definedName>
    <definedName name="_xlnm._FilterDatabase" localSheetId="3" hidden="1">'Paiement — FeexPay'!$A$4:$H$23</definedName>
    <definedName name="_xlnm.Print_Titles" localSheetId="3">'Paiement — FeexPay'!$4:$4</definedName>
    <definedName name="_xlnm.Print_Titles" localSheetId="4">'Comptes et clés'!$4:$4</definedName>
    <definedName name="_xlnm._FilterDatabase" localSheetId="5" hidden="1">'Conformité SEO'!$A$4:$F$27</definedName>
    <definedName name="_xlnm.Print_Titles" localSheetId="5">'Conformité SEO'!$4:$4</definedName>
    <definedName name="_xlnm.Print_Titles" localSheetId="6">'Couverture e-mail'!$4:$4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80368D"/>
      <sz val="18"/>
    </font>
    <font>
      <name val="Arial"/>
      <i val="1"/>
      <color rgb="006D6A75"/>
      <sz val="9"/>
    </font>
    <font>
      <name val="Arial"/>
      <b val="1"/>
      <color rgb="0017151C"/>
      <sz val="10"/>
    </font>
    <font>
      <name val="Arial"/>
      <color rgb="0017151C"/>
      <sz val="10"/>
    </font>
    <font>
      <name val="Arial"/>
      <b val="1"/>
      <color rgb="0017151C"/>
      <sz val="11"/>
    </font>
    <font>
      <name val="Arial"/>
      <b val="1"/>
      <color rgb="00FFFFFF"/>
      <sz val="10"/>
    </font>
    <font>
      <name val="Arial"/>
      <b val="1"/>
      <color rgb="00B3261E"/>
      <sz val="12"/>
    </font>
    <font>
      <name val="Arial"/>
      <b val="1"/>
      <color rgb="0017151C"/>
      <sz val="16"/>
    </font>
    <font>
      <name val="Arial"/>
      <b val="1"/>
      <color rgb="00B3261E"/>
      <sz val="10"/>
    </font>
  </fonts>
  <fills count="8">
    <fill>
      <patternFill/>
    </fill>
    <fill>
      <patternFill patternType="gray125"/>
    </fill>
    <fill>
      <patternFill patternType="solid">
        <fgColor rgb="0080368D"/>
      </patternFill>
    </fill>
    <fill>
      <patternFill patternType="solid">
        <fgColor rgb="00E6F4EA"/>
      </patternFill>
    </fill>
    <fill>
      <patternFill patternType="solid">
        <fgColor rgb="00FFF4DA"/>
      </patternFill>
    </fill>
    <fill>
      <patternFill patternType="solid">
        <fgColor rgb="00FDE7E7"/>
      </patternFill>
    </fill>
    <fill>
      <patternFill patternType="solid">
        <fgColor rgb="00F3F0F8"/>
      </patternFill>
    </fill>
    <fill>
      <patternFill patternType="solid">
        <fgColor rgb="0029358B"/>
      </patternFill>
    </fill>
  </fills>
  <borders count="2">
    <border>
      <left/>
      <right/>
      <top/>
      <bottom/>
      <diagonal/>
    </border>
    <border>
      <left style="thin">
        <color rgb="00DCD7E6"/>
      </left>
      <right style="thin">
        <color rgb="00DCD7E6"/>
      </right>
      <top style="thin">
        <color rgb="00DCD7E6"/>
      </top>
      <bottom style="thin">
        <color rgb="00DCD7E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Développement</author>
  </authors>
  <commentList>
    <comment ref="A1" authorId="0" shapeId="0">
      <text>
        <t>Les états et les criticités de ce classeur ont été relevés en lisant le code du dépôt le 2 septembre 2026 (branche main, commit 79923e2), le README, le fichier TODO.md et les spécifications SEO de maquettes/specifications. Les colonnes « Verdict recette » et « Commentaire » sont à remplir pendant la recette.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zoomScale="10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46" customWidth="1" min="4" max="4"/>
    <col width="20" customWidth="1" min="5" max="5"/>
    <col width="20" customWidth="1" min="6" max="6"/>
  </cols>
  <sheetData>
    <row r="1">
      <c r="A1" s="1" t="inlineStr">
        <is>
          <t>Recette de vérification — E-Masterclass Big Five</t>
        </is>
      </c>
    </row>
    <row r="2">
      <c r="A2" s="2" t="inlineStr">
        <is>
          <t>Contrôle du développement au regard de l'e-mail de lancement, des planches A à E de la maquette et des spécifications SEO.</t>
        </is>
      </c>
    </row>
    <row r="4">
      <c r="A4" s="3" t="inlineStr">
        <is>
          <t>Projet</t>
        </is>
      </c>
      <c r="B4" s="4" t="inlineStr">
        <is>
          <t>Plateforme E-Masterclass Big Five — BigFiveAbidjan SARL</t>
        </is>
      </c>
    </row>
    <row r="5">
      <c r="A5" s="3" t="inlineStr">
        <is>
          <t>Dépôt vérifié</t>
        </is>
      </c>
      <c r="B5" s="4" t="inlineStr">
        <is>
          <t>branche main, dernier commit 79923e2</t>
        </is>
      </c>
    </row>
    <row r="6">
      <c r="A6" s="3" t="inlineStr">
        <is>
          <t>Date du relevé</t>
        </is>
      </c>
      <c r="B6" s="4" t="inlineStr">
        <is>
          <t>2 septembre 2026</t>
        </is>
      </c>
    </row>
    <row r="7">
      <c r="A7" s="3" t="inlineStr">
        <is>
          <t>Établi par</t>
        </is>
      </c>
      <c r="B7" s="4" t="inlineStr">
        <is>
          <t>Équipe de développement</t>
        </is>
      </c>
    </row>
    <row r="8">
      <c r="A8" s="3" t="inlineStr">
        <is>
          <t>Contrôles automatiques</t>
        </is>
      </c>
      <c r="B8" s="4" t="inlineStr">
        <is>
          <t>npm run typecheck : au vert le 02/09 · npm run db:verifier et npm run build : au vert selon le dernier relevé</t>
        </is>
      </c>
    </row>
    <row r="10">
      <c r="A10" s="5" t="inlineStr">
        <is>
          <t>Comment lire ce classeur</t>
        </is>
      </c>
    </row>
    <row r="11" ht="26" customHeight="1">
      <c r="A11" s="3" t="inlineStr">
        <is>
          <t>Recette fonctionnelle</t>
        </is>
      </c>
      <c r="B11" s="4" t="inlineStr">
        <is>
          <t>les cas à dérouler écran par écran ; renseigner les colonnes « Verdict recette » et « Commentaire »</t>
        </is>
      </c>
    </row>
    <row r="12" ht="26" customHeight="1">
      <c r="A12" s="3" t="inlineStr">
        <is>
          <t>Points manquants</t>
        </is>
      </c>
      <c r="B12" s="4" t="inlineStr">
        <is>
          <t>tout ce qui manque, avec sa conséquence, qui le fournit et si cela bloque l'ouverture</t>
        </is>
      </c>
    </row>
    <row r="13" ht="26" customHeight="1">
      <c r="A13" s="3" t="inlineStr">
        <is>
          <t>Paiement — FeexPay</t>
        </is>
      </c>
      <c r="B13" s="4" t="inlineStr">
        <is>
          <t>le détail des informations d'encaissement à fournir — le poste le plus bloquant</t>
        </is>
      </c>
    </row>
    <row r="14" ht="26" customHeight="1">
      <c r="A14" s="3" t="inlineStr">
        <is>
          <t>Comptes et clés</t>
        </is>
      </c>
      <c r="B14" s="4" t="inlineStr">
        <is>
          <t>les autres comptes prestataires, ce qui est déjà en service et ce qui manque</t>
        </is>
      </c>
    </row>
    <row r="15" ht="26" customHeight="1">
      <c r="A15" s="3" t="inlineStr">
        <is>
          <t>Conformité SEO</t>
        </is>
      </c>
      <c r="B15" s="4" t="inlineStr">
        <is>
          <t>les spécifications SEO point par point, avec l'endroit où c'est implémenté</t>
        </is>
      </c>
    </row>
    <row r="16" ht="26" customHeight="1">
      <c r="A16" s="3" t="inlineStr">
        <is>
          <t>Couverture e-mail</t>
        </is>
      </c>
      <c r="B16" s="4" t="inlineStr">
        <is>
          <t>les 6 points de l'e-mail de lancement, et ce qui en reste ouvert</t>
        </is>
      </c>
    </row>
    <row r="18">
      <c r="A18" s="5" t="inlineStr">
        <is>
          <t>État du développement — les colonnes chiffrées se recalculent seules</t>
        </is>
      </c>
    </row>
    <row r="19" ht="24" customHeight="1">
      <c r="A19" s="6" t="inlineStr">
        <is>
          <t>« dont cas critiques » compte les cas dont la criticité est « Bloquant » : ils doivent être au vert avant toute ouverture au public, quel que soit leur état d'avancement.</t>
        </is>
      </c>
    </row>
    <row r="20">
      <c r="A20" s="7" t="inlineStr">
        <is>
          <t>État</t>
        </is>
      </c>
      <c r="B20" s="7" t="inlineStr">
        <is>
          <t>Nombre de cas</t>
        </is>
      </c>
      <c r="C20" s="7" t="inlineStr">
        <is>
          <t>dont cas critiques</t>
        </is>
      </c>
      <c r="D20" s="7" t="inlineStr">
        <is>
          <t>Ce que cela veut dire</t>
        </is>
      </c>
    </row>
    <row r="21" ht="26" customHeight="1">
      <c r="A21" s="8" t="inlineStr">
        <is>
          <t>Développé</t>
        </is>
      </c>
      <c r="B21" s="9">
        <f>COUNTIF('Recette fonctionnelle'!$G:$G,$A21)</f>
        <v/>
      </c>
      <c r="C21" s="9">
        <f>COUNTIFS('Recette fonctionnelle'!$G:$G,$A21,'Recette fonctionnelle'!$H:$H,"Bloquant")</f>
        <v/>
      </c>
      <c r="D21" s="10" t="inlineStr">
        <is>
          <t>Développé et vérifié sur le dépôt ; reste à dérouler en recette</t>
        </is>
      </c>
    </row>
    <row r="22" ht="26" customHeight="1">
      <c r="A22" s="11" t="inlineStr">
        <is>
          <t>Développé — échange simulé</t>
        </is>
      </c>
      <c r="B22" s="9">
        <f>COUNTIF('Recette fonctionnelle'!$G:$G,$A22)</f>
        <v/>
      </c>
      <c r="C22" s="9">
        <f>COUNTIFS('Recette fonctionnelle'!$G:$G,$A22,'Recette fonctionnelle'!$H:$H,"Bloquant")</f>
        <v/>
      </c>
      <c r="D22" s="10" t="inlineStr">
        <is>
          <t>Le parcours est complet mais l'échange avec le prestataire est simulé</t>
        </is>
      </c>
    </row>
    <row r="23" ht="26" customHeight="1">
      <c r="A23" s="11" t="inlineStr">
        <is>
          <t>Partiel</t>
        </is>
      </c>
      <c r="B23" s="9">
        <f>COUNTIF('Recette fonctionnelle'!$G:$G,$A23)</f>
        <v/>
      </c>
      <c r="C23" s="9">
        <f>COUNTIFS('Recette fonctionnelle'!$G:$G,$A23,'Recette fonctionnelle'!$H:$H,"Bloquant")</f>
        <v/>
      </c>
      <c r="D23" s="10" t="inlineStr">
        <is>
          <t>Une partie de l'écran fonctionne, l'autre attend une donnée ou un accès</t>
        </is>
      </c>
    </row>
    <row r="24" ht="26" customHeight="1">
      <c r="A24" s="11" t="inlineStr">
        <is>
          <t>À exécuter</t>
        </is>
      </c>
      <c r="B24" s="9">
        <f>COUNTIF('Recette fonctionnelle'!$G:$G,$A24)</f>
        <v/>
      </c>
      <c r="C24" s="9">
        <f>COUNTIFS('Recette fonctionnelle'!$G:$G,$A24,'Recette fonctionnelle'!$H:$H,"Bloquant")</f>
        <v/>
      </c>
      <c r="D24" s="10" t="inlineStr">
        <is>
          <t>Le code existe ; un script reste à exécuter sur la base hébergée</t>
        </is>
      </c>
    </row>
    <row r="25" ht="26" customHeight="1">
      <c r="A25" s="12" t="inlineStr">
        <is>
          <t>Bloqué — prestataire</t>
        </is>
      </c>
      <c r="B25" s="9">
        <f>COUNTIF('Recette fonctionnelle'!$G:$G,$A25)</f>
        <v/>
      </c>
      <c r="C25" s="9">
        <f>COUNTIFS('Recette fonctionnelle'!$G:$G,$A25,'Recette fonctionnelle'!$H:$H,"Bloquant")</f>
        <v/>
      </c>
      <c r="D25" s="10" t="inlineStr">
        <is>
          <t>Attend un compte, une clé ou un accès chez un prestataire</t>
        </is>
      </c>
    </row>
    <row r="26" ht="26" customHeight="1">
      <c r="A26" s="12" t="inlineStr">
        <is>
          <t>Bloqué — contenu client</t>
        </is>
      </c>
      <c r="B26" s="9">
        <f>COUNTIF('Recette fonctionnelle'!$G:$G,$A26)</f>
        <v/>
      </c>
      <c r="C26" s="9">
        <f>COUNTIFS('Recette fonctionnelle'!$G:$G,$A26,'Recette fonctionnelle'!$H:$H,"Bloquant")</f>
        <v/>
      </c>
      <c r="D26" s="10" t="inlineStr">
        <is>
          <t>Attend un contenu ou un document du client</t>
        </is>
      </c>
    </row>
    <row r="27" ht="26" customHeight="1">
      <c r="A27" s="12" t="inlineStr">
        <is>
          <t>Non développé</t>
        </is>
      </c>
      <c r="B27" s="9">
        <f>COUNTIF('Recette fonctionnelle'!$G:$G,$A27)</f>
        <v/>
      </c>
      <c r="C27" s="9">
        <f>COUNTIFS('Recette fonctionnelle'!$G:$G,$A27,'Recette fonctionnelle'!$H:$H,"Bloquant")</f>
        <v/>
      </c>
      <c r="D27" s="10" t="inlineStr">
        <is>
          <t>Reste à développer</t>
        </is>
      </c>
    </row>
    <row r="28">
      <c r="A28" s="13" t="inlineStr">
        <is>
          <t>Total des cas de recette</t>
        </is>
      </c>
      <c r="B28" s="14">
        <f>SUM(B21:B27)</f>
        <v/>
      </c>
      <c r="C28" s="14">
        <f>SUM(C21:C27)</f>
        <v/>
      </c>
      <c r="D28" s="15" t="n"/>
    </row>
    <row r="30">
      <c r="A30" s="5" t="inlineStr">
        <is>
          <t>Avancement de la recette — à mesure que la colonne « Verdict recette » est renseignée</t>
        </is>
      </c>
    </row>
    <row r="31">
      <c r="A31" s="16" t="inlineStr">
        <is>
          <t>Verdict</t>
        </is>
      </c>
      <c r="B31" s="16" t="inlineStr">
        <is>
          <t>Nombre de cas</t>
        </is>
      </c>
    </row>
    <row r="32">
      <c r="A32" s="17" t="inlineStr">
        <is>
          <t>OK</t>
        </is>
      </c>
      <c r="B32" s="9">
        <f>COUNTIF('Recette fonctionnelle'!$I:$I,$A32)</f>
        <v/>
      </c>
    </row>
    <row r="33">
      <c r="A33" s="17" t="inlineStr">
        <is>
          <t>KO</t>
        </is>
      </c>
      <c r="B33" s="9">
        <f>COUNTIF('Recette fonctionnelle'!$I:$I,$A33)</f>
        <v/>
      </c>
    </row>
    <row r="34">
      <c r="A34" s="17" t="inlineStr">
        <is>
          <t>À revoir</t>
        </is>
      </c>
      <c r="B34" s="9">
        <f>COUNTIF('Recette fonctionnelle'!$I:$I,$A34)</f>
        <v/>
      </c>
    </row>
    <row r="35">
      <c r="A35" s="17" t="inlineStr">
        <is>
          <t>Sans objet</t>
        </is>
      </c>
      <c r="B35" s="9">
        <f>COUNTIF('Recette fonctionnelle'!$I:$I,$A35)</f>
        <v/>
      </c>
    </row>
    <row r="36">
      <c r="A36" s="17" t="inlineStr">
        <is>
          <t>Non testé</t>
        </is>
      </c>
      <c r="B36" s="9">
        <f>COUNTIF('Recette fonctionnelle'!$I:$I,$A36)</f>
        <v/>
      </c>
    </row>
    <row r="38">
      <c r="A38" s="18" t="inlineStr">
        <is>
          <t>Ce qui interdit une ouverture au public</t>
        </is>
      </c>
    </row>
    <row r="39" ht="28" customHeight="1">
      <c r="A39" s="4" t="inlineStr">
        <is>
          <t>• FeexPay — aucune information de paiement fournie : aucune variable FEEXPAY_* n'existe, l'échange avec le prestataire est simulé. Voir l'onglet « Paiement — FeexPay ».</t>
        </is>
      </c>
    </row>
    <row r="40" ht="28" customHeight="1">
      <c r="A40" s="4" t="inlineStr">
        <is>
          <t>• Envoi d'e-mails — aucun fournisseur : un apprenant qui oublie son mot de passe est bloqué, et le code de la connexion admin s'écrit dans la sortie du serveur.</t>
        </is>
      </c>
    </row>
    <row r="41" ht="28" customHeight="1">
      <c r="A41" s="4" t="inlineStr">
        <is>
          <t>• Vidéos — 2 chapitres de démonstration sur 72 ; le lecteur affiche son message d'attente partout ailleurs.</t>
        </is>
      </c>
    </row>
    <row r="42" ht="28" customHeight="1">
      <c r="A42" s="4" t="inlineStr">
        <is>
          <t>• Zoom — Meeting SDK non intégré : la salle de coaching collectif n'existe pas encore dans l'application.</t>
        </is>
      </c>
    </row>
    <row r="43" ht="28" customHeight="1">
      <c r="A43" s="4" t="inlineStr">
        <is>
          <t>• Textes juridiques et visuels définitifs non fournis.</t>
        </is>
      </c>
    </row>
    <row r="44" ht="28" customHeight="1">
      <c r="A44" s="4" t="inlineStr">
        <is>
          <t>• Mots de passe des comptes de démonstration à changer, et à retirer de l'écran de connexion et du README.</t>
        </is>
      </c>
    </row>
    <row r="45" ht="28" customHeight="1">
      <c r="A45" s="4" t="inlineStr">
        <is>
          <t>• Domaine de production, HTTPS et variables d'environnement de production à poser.</t>
        </is>
      </c>
    </row>
    <row r="46" ht="28" customHeight="1">
      <c r="A46" s="4" t="inlineStr">
        <is>
          <t>• Deux scripts SQL à exécuter sur la base hébergée : 06-video.sql et rattrapage-videos.sql.</t>
        </is>
      </c>
    </row>
  </sheetData>
  <mergeCells count="20">
    <mergeCell ref="B11:D11"/>
    <mergeCell ref="B14:D14"/>
    <mergeCell ref="B8:D8"/>
    <mergeCell ref="B13:D13"/>
    <mergeCell ref="A43:D43"/>
    <mergeCell ref="A19:D19"/>
    <mergeCell ref="A44:D44"/>
    <mergeCell ref="A40:D40"/>
    <mergeCell ref="A39:D39"/>
    <mergeCell ref="B15:D15"/>
    <mergeCell ref="B6:D6"/>
    <mergeCell ref="A45:D45"/>
    <mergeCell ref="B5:D5"/>
    <mergeCell ref="B4:D4"/>
    <mergeCell ref="A41:D41"/>
    <mergeCell ref="B7:D7"/>
    <mergeCell ref="A46:D46"/>
    <mergeCell ref="B16:D16"/>
    <mergeCell ref="B12:D12"/>
    <mergeCell ref="A42:D42"/>
  </mergeCells>
  <printOptions horizontalCentered="0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34" customWidth="1" min="4" max="4"/>
    <col width="52" customWidth="1" min="5" max="5"/>
    <col width="24" customWidth="1" min="6" max="6"/>
    <col width="22" customWidth="1" min="7" max="7"/>
    <col width="12" customWidth="1" min="8" max="8"/>
    <col width="16" customWidth="1" min="9" max="9"/>
    <col width="34" customWidth="1" min="10" max="10"/>
  </cols>
  <sheetData>
    <row r="1">
      <c r="A1" s="19" t="inlineStr">
        <is>
          <t>Recette fonctionnelle</t>
        </is>
      </c>
    </row>
    <row r="2">
      <c r="A2" s="2" t="inlineStr">
        <is>
          <t>Un cas par ligne. Remplir « Verdict recette » (liste déroulante) et « Commentaire du testeur ». Les autres colonnes décrivent l'état relevé sur le dépôt.</t>
        </is>
      </c>
    </row>
    <row r="4" ht="30" customHeight="1">
      <c r="A4" s="7" t="inlineStr">
        <is>
          <t>ID</t>
        </is>
      </c>
      <c r="B4" s="7" t="inlineStr">
        <is>
          <t>Domaine</t>
        </is>
      </c>
      <c r="C4" s="7" t="inlineStr">
        <is>
          <t>Écran / route</t>
        </is>
      </c>
      <c r="D4" s="7" t="inlineStr">
        <is>
          <t>Cas à vérifier</t>
        </is>
      </c>
      <c r="E4" s="7" t="inlineStr">
        <is>
          <t>Résultat attendu</t>
        </is>
      </c>
      <c r="F4" s="7" t="inlineStr">
        <is>
          <t>Source (maquette / spéc.)</t>
        </is>
      </c>
      <c r="G4" s="7" t="inlineStr">
        <is>
          <t>État du développement</t>
        </is>
      </c>
      <c r="H4" s="7" t="inlineStr">
        <is>
          <t>Criticité</t>
        </is>
      </c>
      <c r="I4" s="7" t="inlineStr">
        <is>
          <t>Verdict recette</t>
        </is>
      </c>
      <c r="J4" s="7" t="inlineStr">
        <is>
          <t>Commentaire du testeur</t>
        </is>
      </c>
    </row>
    <row r="5">
      <c r="A5" s="10" t="inlineStr">
        <is>
          <t>VIT-01</t>
        </is>
      </c>
      <c r="B5" s="10" t="inlineStr">
        <is>
          <t>Site vitrine</t>
        </is>
      </c>
      <c r="C5" s="10" t="inlineStr">
        <is>
          <t>/</t>
        </is>
      </c>
      <c r="D5" s="10" t="inlineStr">
        <is>
          <t>Carrousel du hero (2 slides)</t>
        </is>
      </c>
      <c r="E5" s="10" t="inlineStr">
        <is>
          <t>Un seul H1, partie fixe « Montez en compétences. », sous-titre/CTA/couleur/visuel changent ensemble, pause au survol, navigation clavier, glissement tactile</t>
        </is>
      </c>
      <c r="F5" s="10" t="inlineStr">
        <is>
          <t>Planche A · Spéc. SEO §6</t>
        </is>
      </c>
      <c r="G5" s="20" t="inlineStr">
        <is>
          <t>Développé</t>
        </is>
      </c>
      <c r="H5" s="9" t="inlineStr">
        <is>
          <t>Majeur</t>
        </is>
      </c>
      <c r="I5" s="9" t="n"/>
      <c r="J5" s="10" t="n"/>
    </row>
    <row r="6">
      <c r="A6" s="10" t="inlineStr">
        <is>
          <t>VIT-02</t>
        </is>
      </c>
      <c r="B6" s="10" t="inlineStr">
        <is>
          <t>Site vitrine</t>
        </is>
      </c>
      <c r="C6" s="10" t="inlineStr">
        <is>
          <t>/</t>
        </is>
      </c>
      <c r="D6" s="10" t="inlineStr">
        <is>
          <t>Bloc des deux programmes</t>
        </is>
      </c>
      <c r="E6" s="10" t="inlineStr">
        <is>
          <t>Social Média en violet #80368D, Entrepreneurs en bleu #29358B, lien vers chaque page programme</t>
        </is>
      </c>
      <c r="F6" s="10" t="inlineStr">
        <is>
          <t>Planche A</t>
        </is>
      </c>
      <c r="G6" s="20" t="inlineStr">
        <is>
          <t>Développé</t>
        </is>
      </c>
      <c r="H6" s="9" t="inlineStr">
        <is>
          <t>Majeur</t>
        </is>
      </c>
      <c r="I6" s="9" t="n"/>
      <c r="J6" s="10" t="n"/>
    </row>
    <row r="7">
      <c r="A7" s="10" t="inlineStr">
        <is>
          <t>VIT-03</t>
        </is>
      </c>
      <c r="B7" s="10" t="inlineStr">
        <is>
          <t>Site vitrine</t>
        </is>
      </c>
      <c r="C7" s="10" t="inlineStr">
        <is>
          <t>/</t>
        </is>
      </c>
      <c r="D7" s="10" t="inlineStr">
        <is>
          <t>Accordéon des thématiques</t>
        </is>
      </c>
      <c r="E7" s="10" t="inlineStr">
        <is>
          <t>Chaque thématique se déplie et liste ses modules</t>
        </is>
      </c>
      <c r="F7" s="10" t="inlineStr">
        <is>
          <t>Planche A</t>
        </is>
      </c>
      <c r="G7" s="20" t="inlineStr">
        <is>
          <t>Développé</t>
        </is>
      </c>
      <c r="H7" s="9" t="inlineStr">
        <is>
          <t>Mineur</t>
        </is>
      </c>
      <c r="I7" s="9" t="n"/>
      <c r="J7" s="10" t="n"/>
    </row>
    <row r="8">
      <c r="A8" s="10" t="inlineStr">
        <is>
          <t>VIT-04</t>
        </is>
      </c>
      <c r="B8" s="10" t="inlineStr">
        <is>
          <t>Site vitrine</t>
        </is>
      </c>
      <c r="C8" s="10" t="inlineStr">
        <is>
          <t>/</t>
        </is>
      </c>
      <c r="D8" s="10" t="inlineStr">
        <is>
          <t>Section formateurs</t>
        </is>
      </c>
      <c r="E8" s="10" t="inlineStr">
        <is>
          <t>Les 3 formateurs avec photo, spécialité et lien vers la fiche</t>
        </is>
      </c>
      <c r="F8" s="10" t="inlineStr">
        <is>
          <t>Planche A</t>
        </is>
      </c>
      <c r="G8" s="21" t="inlineStr">
        <is>
          <t>Bloqué — contenu client</t>
        </is>
      </c>
      <c r="H8" s="9" t="inlineStr">
        <is>
          <t>Majeur</t>
        </is>
      </c>
      <c r="I8" s="9" t="n"/>
      <c r="J8" s="10" t="n"/>
    </row>
    <row r="9">
      <c r="A9" s="10" t="inlineStr">
        <is>
          <t>VIT-05</t>
        </is>
      </c>
      <c r="B9" s="10" t="inlineStr">
        <is>
          <t>Site vitrine</t>
        </is>
      </c>
      <c r="C9" s="10" t="inlineStr">
        <is>
          <t>/</t>
        </is>
      </c>
      <c r="D9" s="10" t="inlineStr">
        <is>
          <t>FAQ d'accueil</t>
        </is>
      </c>
      <c r="E9" s="10" t="inlineStr">
        <is>
          <t>Questions dépliables, balisage FAQPage</t>
        </is>
      </c>
      <c r="F9" s="10" t="inlineStr">
        <is>
          <t>Planche A · Spéc. SEO §9</t>
        </is>
      </c>
      <c r="G9" s="20" t="inlineStr">
        <is>
          <t>Développé</t>
        </is>
      </c>
      <c r="H9" s="9" t="inlineStr">
        <is>
          <t>Mineur</t>
        </is>
      </c>
      <c r="I9" s="9" t="n"/>
      <c r="J9" s="10" t="n"/>
    </row>
    <row r="10">
      <c r="A10" s="10" t="inlineStr">
        <is>
          <t>VIT-06</t>
        </is>
      </c>
      <c r="B10" s="10" t="inlineStr">
        <is>
          <t>Site vitrine</t>
        </is>
      </c>
      <c r="C10" s="10" t="inlineStr">
        <is>
          <t>/</t>
        </is>
      </c>
      <c r="D10" s="10" t="inlineStr">
        <is>
          <t>Derniers articles du blog</t>
        </is>
      </c>
      <c r="E10" s="10" t="inlineStr">
        <is>
          <t>Les articles publiés remontent ; les brouillons non</t>
        </is>
      </c>
      <c r="F10" s="10" t="inlineStr">
        <is>
          <t>Planche A</t>
        </is>
      </c>
      <c r="G10" s="20" t="inlineStr">
        <is>
          <t>Développé</t>
        </is>
      </c>
      <c r="H10" s="9" t="inlineStr">
        <is>
          <t>Mineur</t>
        </is>
      </c>
      <c r="I10" s="9" t="n"/>
      <c r="J10" s="10" t="n"/>
    </row>
    <row r="11">
      <c r="A11" s="10" t="inlineStr">
        <is>
          <t>VIT-07</t>
        </is>
      </c>
      <c r="B11" s="10" t="inlineStr">
        <is>
          <t>Site vitrine</t>
        </is>
      </c>
      <c r="C11" s="10" t="inlineStr">
        <is>
          <t>Toutes pages</t>
        </is>
      </c>
      <c r="D11" s="10" t="inlineStr">
        <is>
          <t>Bouton WhatsApp flottant</t>
        </is>
      </c>
      <c r="E11" s="10" t="inlineStr">
        <is>
          <t>Ouvre https://wa.me/2250575152144 avec message pré-rempli</t>
        </is>
      </c>
      <c r="F11" s="10" t="inlineStr">
        <is>
          <t>E-mail de lancement §3</t>
        </is>
      </c>
      <c r="G11" s="20" t="inlineStr">
        <is>
          <t>Développé</t>
        </is>
      </c>
      <c r="H11" s="9" t="inlineStr">
        <is>
          <t>Majeur</t>
        </is>
      </c>
      <c r="I11" s="9" t="n"/>
      <c r="J11" s="10" t="n"/>
    </row>
    <row r="12">
      <c r="A12" s="10" t="inlineStr">
        <is>
          <t>VIT-08</t>
        </is>
      </c>
      <c r="B12" s="10" t="inlineStr">
        <is>
          <t>Site vitrine</t>
        </is>
      </c>
      <c r="C12" s="10" t="inlineStr">
        <is>
          <t>/programmes</t>
        </is>
      </c>
      <c r="D12" s="10" t="inlineStr">
        <is>
          <t>Liste des deux programmes</t>
        </is>
      </c>
      <c r="E12" s="10" t="inlineStr">
        <is>
          <t>Page unique présentant les deux parcours, modules filtrables par thématique</t>
        </is>
      </c>
      <c r="F12" s="10" t="inlineStr">
        <is>
          <t>Planche A</t>
        </is>
      </c>
      <c r="G12" s="20" t="inlineStr">
        <is>
          <t>Développé</t>
        </is>
      </c>
      <c r="H12" s="9" t="inlineStr">
        <is>
          <t>Majeur</t>
        </is>
      </c>
      <c r="I12" s="9" t="n"/>
      <c r="J12" s="10" t="n"/>
    </row>
    <row r="13">
      <c r="A13" s="10" t="inlineStr">
        <is>
          <t>VIT-09</t>
        </is>
      </c>
      <c r="B13" s="10" t="inlineStr">
        <is>
          <t>Site vitrine</t>
        </is>
      </c>
      <c r="C13" s="10" t="inlineStr">
        <is>
          <t>/programmes/social-media</t>
        </is>
      </c>
      <c r="D13" s="10" t="inlineStr">
        <is>
          <t>Page programme Social Média</t>
        </is>
      </c>
      <c r="E13" s="10" t="inlineStr">
        <is>
          <t>Hero dégradé + motif de marque, filtres par thématique, FAQ du programme</t>
        </is>
      </c>
      <c r="F13" s="10" t="inlineStr">
        <is>
          <t>Planche A</t>
        </is>
      </c>
      <c r="G13" s="20" t="inlineStr">
        <is>
          <t>Développé</t>
        </is>
      </c>
      <c r="H13" s="9" t="inlineStr">
        <is>
          <t>Majeur</t>
        </is>
      </c>
      <c r="I13" s="9" t="n"/>
      <c r="J13" s="10" t="n"/>
    </row>
    <row r="14">
      <c r="A14" s="10" t="inlineStr">
        <is>
          <t>VIT-10</t>
        </is>
      </c>
      <c r="B14" s="10" t="inlineStr">
        <is>
          <t>Site vitrine</t>
        </is>
      </c>
      <c r="C14" s="10" t="inlineStr">
        <is>
          <t>/programmes/entrepreneurs</t>
        </is>
      </c>
      <c r="D14" s="10" t="inlineStr">
        <is>
          <t>Page programme Entrepreneurs</t>
        </is>
      </c>
      <c r="E14" s="10" t="inlineStr">
        <is>
          <t>Idem, en bleu #29358B</t>
        </is>
      </c>
      <c r="F14" s="10" t="inlineStr">
        <is>
          <t>Planche A</t>
        </is>
      </c>
      <c r="G14" s="20" t="inlineStr">
        <is>
          <t>Développé</t>
        </is>
      </c>
      <c r="H14" s="9" t="inlineStr">
        <is>
          <t>Majeur</t>
        </is>
      </c>
      <c r="I14" s="9" t="n"/>
      <c r="J14" s="10" t="n"/>
    </row>
    <row r="15">
      <c r="A15" s="10" t="inlineStr">
        <is>
          <t>VIT-11</t>
        </is>
      </c>
      <c r="B15" s="10" t="inlineStr">
        <is>
          <t>Site vitrine</t>
        </is>
      </c>
      <c r="C15" s="10" t="inlineStr">
        <is>
          <t>/modules</t>
        </is>
      </c>
      <c r="D15" s="10" t="inlineStr">
        <is>
          <t>Catalogue complet</t>
        </is>
      </c>
      <c r="E15" s="10" t="inlineStr">
        <is>
          <t>18 modules, filtres par programme et thématique</t>
        </is>
      </c>
      <c r="F15" s="10" t="inlineStr">
        <is>
          <t>Planche A</t>
        </is>
      </c>
      <c r="G15" s="20" t="inlineStr">
        <is>
          <t>Développé</t>
        </is>
      </c>
      <c r="H15" s="9" t="inlineStr">
        <is>
          <t>Majeur</t>
        </is>
      </c>
      <c r="I15" s="9" t="n"/>
      <c r="J15" s="10" t="n"/>
    </row>
    <row r="16">
      <c r="A16" s="10" t="inlineStr">
        <is>
          <t>VIT-12</t>
        </is>
      </c>
      <c r="B16" s="10" t="inlineStr">
        <is>
          <t>Site vitrine</t>
        </is>
      </c>
      <c r="C16" s="10" t="inlineStr">
        <is>
          <t>/modules/[slug]</t>
        </is>
      </c>
      <c r="D16" s="10" t="inlineStr">
        <is>
          <t>Fiche module</t>
        </is>
      </c>
      <c r="E16" s="10" t="inlineStr">
        <is>
          <t>Promesse, pourquoi, chapitres, formateur, carte d'achat collante à 10 000 FCFA TTC</t>
        </is>
      </c>
      <c r="F16" s="10" t="inlineStr">
        <is>
          <t>Planche A</t>
        </is>
      </c>
      <c r="G16" s="20" t="inlineStr">
        <is>
          <t>Développé</t>
        </is>
      </c>
      <c r="H16" s="22" t="inlineStr">
        <is>
          <t>Bloquant</t>
        </is>
      </c>
      <c r="I16" s="9" t="n"/>
      <c r="J16" s="10" t="n"/>
    </row>
    <row r="17">
      <c r="A17" s="10" t="inlineStr">
        <is>
          <t>VIT-13</t>
        </is>
      </c>
      <c r="B17" s="10" t="inlineStr">
        <is>
          <t>Site vitrine</t>
        </is>
      </c>
      <c r="C17" s="10" t="inlineStr">
        <is>
          <t>/modules/[slug]</t>
        </is>
      </c>
      <c r="D17" s="10" t="inlineStr">
        <is>
          <t>Module « en préparation »</t>
        </is>
      </c>
      <c r="E17" s="10" t="inlineStr">
        <is>
          <t>Fiche commerciale visible, achat fermé, hors sitemap</t>
        </is>
      </c>
      <c r="F17" s="10" t="inlineStr">
        <is>
          <t>Spéc. SEO §5</t>
        </is>
      </c>
      <c r="G17" s="20" t="inlineStr">
        <is>
          <t>Développé</t>
        </is>
      </c>
      <c r="H17" s="9" t="inlineStr">
        <is>
          <t>Majeur</t>
        </is>
      </c>
      <c r="I17" s="9" t="n"/>
      <c r="J17" s="10" t="n"/>
    </row>
    <row r="18">
      <c r="A18" s="10" t="inlineStr">
        <is>
          <t>VIT-14</t>
        </is>
      </c>
      <c r="B18" s="10" t="inlineStr">
        <is>
          <t>Site vitrine</t>
        </is>
      </c>
      <c r="C18" s="10" t="inlineStr">
        <is>
          <t>/formateurs</t>
        </is>
      </c>
      <c r="D18" s="10" t="inlineStr">
        <is>
          <t>Liste des formateurs</t>
        </is>
      </c>
      <c r="E18" s="10" t="inlineStr">
        <is>
          <t>Profils dépliables, encart coaching privé</t>
        </is>
      </c>
      <c r="F18" s="10" t="inlineStr">
        <is>
          <t>Planche A</t>
        </is>
      </c>
      <c r="G18" s="20" t="inlineStr">
        <is>
          <t>Développé</t>
        </is>
      </c>
      <c r="H18" s="9" t="inlineStr">
        <is>
          <t>Majeur</t>
        </is>
      </c>
      <c r="I18" s="9" t="n"/>
      <c r="J18" s="10" t="n"/>
    </row>
    <row r="19">
      <c r="A19" s="10" t="inlineStr">
        <is>
          <t>VIT-15</t>
        </is>
      </c>
      <c r="B19" s="10" t="inlineStr">
        <is>
          <t>Site vitrine</t>
        </is>
      </c>
      <c r="C19" s="10" t="inlineStr">
        <is>
          <t>/formateurs/[slug]</t>
        </is>
      </c>
      <c r="D19" s="10" t="inlineStr">
        <is>
          <t>Fiche formateur</t>
        </is>
      </c>
      <c r="E19" s="10" t="inlineStr">
        <is>
          <t>Biographie, modules animés, données structurées Person</t>
        </is>
      </c>
      <c r="F19" s="10" t="inlineStr">
        <is>
          <t>Planche A · Spéc. SEO §9</t>
        </is>
      </c>
      <c r="G19" s="20" t="inlineStr">
        <is>
          <t>Développé</t>
        </is>
      </c>
      <c r="H19" s="9" t="inlineStr">
        <is>
          <t>Majeur</t>
        </is>
      </c>
      <c r="I19" s="9" t="n"/>
      <c r="J19" s="10" t="n"/>
    </row>
    <row r="20">
      <c r="A20" s="10" t="inlineStr">
        <is>
          <t>VIT-16</t>
        </is>
      </c>
      <c r="B20" s="10" t="inlineStr">
        <is>
          <t>Site vitrine</t>
        </is>
      </c>
      <c r="C20" s="10" t="inlineStr">
        <is>
          <t>/devenir-formateur</t>
        </is>
      </c>
      <c r="D20" s="10" t="inlineStr">
        <is>
          <t>Candidature formateur</t>
        </is>
      </c>
      <c r="E20" s="10" t="inlineStr">
        <is>
          <t>Le formulaire enregistre la candidature en base et remonte dans /admin/formateurs</t>
        </is>
      </c>
      <c r="F20" s="10" t="inlineStr">
        <is>
          <t>Planche E — parcours 06</t>
        </is>
      </c>
      <c r="G20" s="20" t="inlineStr">
        <is>
          <t>Développé</t>
        </is>
      </c>
      <c r="H20" s="9" t="inlineStr">
        <is>
          <t>Majeur</t>
        </is>
      </c>
      <c r="I20" s="9" t="n"/>
      <c r="J20" s="10" t="n"/>
    </row>
    <row r="21">
      <c r="A21" s="10" t="inlineStr">
        <is>
          <t>VIT-17</t>
        </is>
      </c>
      <c r="B21" s="10" t="inlineStr">
        <is>
          <t>Site vitrine</t>
        </is>
      </c>
      <c r="C21" s="10" t="inlineStr">
        <is>
          <t>/contact</t>
        </is>
      </c>
      <c r="D21" s="10" t="inlineStr">
        <is>
          <t>Formulaire de contact</t>
        </is>
      </c>
      <c r="E21" s="10" t="inlineStr">
        <is>
          <t>La demande part par e-mail vers l'adresse de l'équipe</t>
        </is>
      </c>
      <c r="F21" s="10" t="inlineStr">
        <is>
          <t>Planche A</t>
        </is>
      </c>
      <c r="G21" s="23" t="inlineStr">
        <is>
          <t>Partiel</t>
        </is>
      </c>
      <c r="H21" s="9" t="inlineStr">
        <is>
          <t>Majeur</t>
        </is>
      </c>
      <c r="I21" s="9" t="n"/>
      <c r="J21" s="10" t="n"/>
    </row>
    <row r="22">
      <c r="A22" s="10" t="inlineStr">
        <is>
          <t>VIT-18</t>
        </is>
      </c>
      <c r="B22" s="10" t="inlineStr">
        <is>
          <t>Site vitrine</t>
        </is>
      </c>
      <c r="C22" s="10" t="inlineStr">
        <is>
          <t>/sessions</t>
        </is>
      </c>
      <c r="D22" s="10" t="inlineStr">
        <is>
          <t>Calendrier public des coachings</t>
        </is>
      </c>
      <c r="E22" s="10" t="inlineStr">
        <is>
          <t>Sessions à venir avec thématique, formateur, date et places restantes</t>
        </is>
      </c>
      <c r="F22" s="10" t="inlineStr">
        <is>
          <t>Planche A</t>
        </is>
      </c>
      <c r="G22" s="20" t="inlineStr">
        <is>
          <t>Développé</t>
        </is>
      </c>
      <c r="H22" s="9" t="inlineStr">
        <is>
          <t>Mineur</t>
        </is>
      </c>
      <c r="I22" s="9" t="n"/>
      <c r="J22" s="10" t="n"/>
    </row>
    <row r="23">
      <c r="A23" s="10" t="inlineStr">
        <is>
          <t>VIT-19</t>
        </is>
      </c>
      <c r="B23" s="10" t="inlineStr">
        <is>
          <t>Site vitrine</t>
        </is>
      </c>
      <c r="C23" s="10" t="inlineStr">
        <is>
          <t>/blog · /blog/[slug]</t>
        </is>
      </c>
      <c r="D23" s="10" t="inlineStr">
        <is>
          <t>Section blog</t>
        </is>
      </c>
      <c r="E23" s="10" t="inlineStr">
        <is>
          <t>Liste paginée et article complet, balisage Article, partage WhatsApp</t>
        </is>
      </c>
      <c r="F23" s="10" t="inlineStr">
        <is>
          <t>E-mail de lancement §5</t>
        </is>
      </c>
      <c r="G23" s="20" t="inlineStr">
        <is>
          <t>Développé</t>
        </is>
      </c>
      <c r="H23" s="9" t="inlineStr">
        <is>
          <t>Majeur</t>
        </is>
      </c>
      <c r="I23" s="9" t="n"/>
      <c r="J23" s="10" t="n"/>
    </row>
    <row r="24">
      <c r="A24" s="10" t="inlineStr">
        <is>
          <t>VIT-20</t>
        </is>
      </c>
      <c r="B24" s="10" t="inlineStr">
        <is>
          <t>Site vitrine</t>
        </is>
      </c>
      <c r="C24" s="10" t="inlineStr">
        <is>
          <t>/mentions-legales · /cgu · /cgv · /confidentialite · /cookies</t>
        </is>
      </c>
      <c r="D24" s="10" t="inlineStr">
        <is>
          <t>Pages légales</t>
        </is>
      </c>
      <c r="E24" s="10" t="inlineStr">
        <is>
          <t>Textes juridiques validés par le client en ligne</t>
        </is>
      </c>
      <c r="F24" s="10" t="inlineStr">
        <is>
          <t>Planche A</t>
        </is>
      </c>
      <c r="G24" s="21" t="inlineStr">
        <is>
          <t>Bloqué — contenu client</t>
        </is>
      </c>
      <c r="H24" s="22" t="inlineStr">
        <is>
          <t>Bloquant</t>
        </is>
      </c>
      <c r="I24" s="9" t="n"/>
      <c r="J24" s="10" t="n"/>
    </row>
    <row r="25">
      <c r="A25" s="10" t="inlineStr">
        <is>
          <t>VIT-21</t>
        </is>
      </c>
      <c r="B25" s="10" t="inlineStr">
        <is>
          <t>Site vitrine</t>
        </is>
      </c>
      <c r="C25" s="10" t="inlineStr">
        <is>
          <t>Toutes pages</t>
        </is>
      </c>
      <c r="D25" s="10" t="inlineStr">
        <is>
          <t>Bandeau cookies</t>
        </is>
      </c>
      <c r="E25" s="10" t="inlineStr">
        <is>
          <t>3 catégories (essentiels, audience, marketing), rien n'est chargé avant le choix, re-demande à 1 an, retrait par « Gérer mes cookies »</t>
        </is>
      </c>
      <c r="F25" s="10" t="inlineStr">
        <is>
          <t>Planche A — écran 10</t>
        </is>
      </c>
      <c r="G25" s="20" t="inlineStr">
        <is>
          <t>Développé</t>
        </is>
      </c>
      <c r="H25" s="22" t="inlineStr">
        <is>
          <t>Bloquant</t>
        </is>
      </c>
      <c r="I25" s="9" t="n"/>
      <c r="J25" s="10" t="n"/>
    </row>
    <row r="26">
      <c r="A26" s="10" t="inlineStr">
        <is>
          <t>VIT-22</t>
        </is>
      </c>
      <c r="B26" s="10" t="inlineStr">
        <is>
          <t>Site vitrine</t>
        </is>
      </c>
      <c r="C26" s="10" t="inlineStr">
        <is>
          <t>En-tête et pied de page</t>
        </is>
      </c>
      <c r="D26" s="10" t="inlineStr">
        <is>
          <t>Numéro WhatsApp affiché</t>
        </is>
      </c>
      <c r="E26" s="10" t="inlineStr">
        <is>
          <t>« +225 05 75 15 21 44 » partout, cliquable</t>
        </is>
      </c>
      <c r="F26" s="10" t="inlineStr">
        <is>
          <t>E-mail de lancement §3</t>
        </is>
      </c>
      <c r="G26" s="20" t="inlineStr">
        <is>
          <t>Développé</t>
        </is>
      </c>
      <c r="H26" s="9" t="inlineStr">
        <is>
          <t>Majeur</t>
        </is>
      </c>
      <c r="I26" s="9" t="n"/>
      <c r="J26" s="10" t="n"/>
    </row>
    <row r="27">
      <c r="A27" s="10" t="inlineStr">
        <is>
          <t>VIT-23</t>
        </is>
      </c>
      <c r="B27" s="10" t="inlineStr">
        <is>
          <t>Site vitrine</t>
        </is>
      </c>
      <c r="C27" s="10" t="inlineStr">
        <is>
          <t>Toutes pages</t>
        </is>
      </c>
      <c r="D27" s="10" t="inlineStr">
        <is>
          <t>Responsive</t>
        </is>
      </c>
      <c r="E27" s="10" t="inlineStr">
        <is>
          <t>Points de rupture desktop / tablette / mobile conformes aux planches</t>
        </is>
      </c>
      <c r="F27" s="10" t="inlineStr">
        <is>
          <t>Maquette</t>
        </is>
      </c>
      <c r="G27" s="20" t="inlineStr">
        <is>
          <t>Développé</t>
        </is>
      </c>
      <c r="H27" s="9" t="inlineStr">
        <is>
          <t>Majeur</t>
        </is>
      </c>
      <c r="I27" s="9" t="n"/>
      <c r="J27" s="10" t="n"/>
    </row>
    <row r="28">
      <c r="A28" s="10" t="inlineStr">
        <is>
          <t>VIT-24</t>
        </is>
      </c>
      <c r="B28" s="10" t="inlineStr">
        <is>
          <t>Site vitrine</t>
        </is>
      </c>
      <c r="C28" s="10" t="inlineStr">
        <is>
          <t>Toutes pages</t>
        </is>
      </c>
      <c r="D28" s="10" t="inlineStr">
        <is>
          <t>Typographies</t>
        </is>
      </c>
      <c r="E28" s="10" t="inlineStr">
        <is>
          <t>Jost (titres) et Mulish (textes) chargées, auto-hébergées, aucune police tierce restante</t>
        </is>
      </c>
      <c r="F28" s="10" t="inlineStr">
        <is>
          <t>E-mail de lancement §6</t>
        </is>
      </c>
      <c r="G28" s="20" t="inlineStr">
        <is>
          <t>Développé</t>
        </is>
      </c>
      <c r="H28" s="9" t="inlineStr">
        <is>
          <t>Majeur</t>
        </is>
      </c>
      <c r="I28" s="9" t="n"/>
      <c r="J28" s="10" t="n"/>
    </row>
    <row r="29">
      <c r="A29" s="10" t="inlineStr">
        <is>
          <t>VIT-25</t>
        </is>
      </c>
      <c r="B29" s="10" t="inlineStr">
        <is>
          <t>Site vitrine</t>
        </is>
      </c>
      <c r="C29" s="10" t="inlineStr">
        <is>
          <t>Fonds sombres</t>
        </is>
      </c>
      <c r="D29" s="10" t="inlineStr">
        <is>
          <t>Lisibilité des liens</t>
        </is>
      </c>
      <c r="E29" s="10" t="inlineStr">
        <is>
          <t>Contraste suffisant sur barres latérales, hero programme et lecteur</t>
        </is>
      </c>
      <c r="F29" s="10" t="inlineStr">
        <is>
          <t>Correctif du 02/09</t>
        </is>
      </c>
      <c r="G29" s="20" t="inlineStr">
        <is>
          <t>Développé</t>
        </is>
      </c>
      <c r="H29" s="9" t="inlineStr">
        <is>
          <t>Mineur</t>
        </is>
      </c>
      <c r="I29" s="9" t="n"/>
      <c r="J29" s="10" t="n"/>
    </row>
    <row r="30">
      <c r="A30" s="10" t="inlineStr">
        <is>
          <t>ACH-01</t>
        </is>
      </c>
      <c r="B30" s="10" t="inlineStr">
        <is>
          <t>Tunnel d'achat</t>
        </is>
      </c>
      <c r="C30" s="10" t="inlineStr">
        <is>
          <t>/modules/[slug] → /achat/compte</t>
        </is>
      </c>
      <c r="D30" s="10" t="inlineStr">
        <is>
          <t>Entrée dans le tunnel</t>
        </is>
      </c>
      <c r="E30" s="10" t="inlineStr">
        <is>
          <t>Le bouton d'achat mène à l'étape 1 avec le module en mémoire</t>
        </is>
      </c>
      <c r="F30" s="10" t="inlineStr">
        <is>
          <t>Planche E — parcours 01</t>
        </is>
      </c>
      <c r="G30" s="20" t="inlineStr">
        <is>
          <t>Développé</t>
        </is>
      </c>
      <c r="H30" s="22" t="inlineStr">
        <is>
          <t>Bloquant</t>
        </is>
      </c>
      <c r="I30" s="9" t="n"/>
      <c r="J30" s="10" t="n"/>
    </row>
    <row r="31">
      <c r="A31" s="10" t="inlineStr">
        <is>
          <t>ACH-02</t>
        </is>
      </c>
      <c r="B31" s="10" t="inlineStr">
        <is>
          <t>Tunnel d'achat</t>
        </is>
      </c>
      <c r="C31" s="10" t="inlineStr">
        <is>
          <t>/achat/compte</t>
        </is>
      </c>
      <c r="D31" s="10" t="inlineStr">
        <is>
          <t>Étape 1 — compte</t>
        </is>
      </c>
      <c r="E31" s="10" t="inlineStr">
        <is>
          <t>Création de compte ou connexion, puis passage à l'étape 2</t>
        </is>
      </c>
      <c r="F31" s="10" t="inlineStr">
        <is>
          <t>Planche A — écran 04a</t>
        </is>
      </c>
      <c r="G31" s="20" t="inlineStr">
        <is>
          <t>Développé</t>
        </is>
      </c>
      <c r="H31" s="22" t="inlineStr">
        <is>
          <t>Bloquant</t>
        </is>
      </c>
      <c r="I31" s="9" t="n"/>
      <c r="J31" s="10" t="n"/>
    </row>
    <row r="32">
      <c r="A32" s="10" t="inlineStr">
        <is>
          <t>ACH-03</t>
        </is>
      </c>
      <c r="B32" s="10" t="inlineStr">
        <is>
          <t>Tunnel d'achat</t>
        </is>
      </c>
      <c r="C32" s="10" t="inlineStr">
        <is>
          <t>/achat/recapitulatif</t>
        </is>
      </c>
      <c r="D32" s="10" t="inlineStr">
        <is>
          <t>Étape 2 — récapitulatif</t>
        </is>
      </c>
      <c r="E32" s="10" t="inlineStr">
        <is>
          <t>Module, prix TTC, case d'acceptation des CGV</t>
        </is>
      </c>
      <c r="F32" s="10" t="inlineStr">
        <is>
          <t>Planche A — écran 04b</t>
        </is>
      </c>
      <c r="G32" s="23" t="inlineStr">
        <is>
          <t>Partiel</t>
        </is>
      </c>
      <c r="H32" s="22" t="inlineStr">
        <is>
          <t>Bloquant</t>
        </is>
      </c>
      <c r="I32" s="9" t="n"/>
      <c r="J32" s="10" t="n"/>
    </row>
    <row r="33">
      <c r="A33" s="10" t="inlineStr">
        <is>
          <t>ACH-04</t>
        </is>
      </c>
      <c r="B33" s="10" t="inlineStr">
        <is>
          <t>Tunnel d'achat</t>
        </is>
      </c>
      <c r="C33" s="10" t="inlineStr">
        <is>
          <t>/achat/paiement</t>
        </is>
      </c>
      <c r="D33" s="10" t="inlineStr">
        <is>
          <t>Étape 3 — moyen de paiement</t>
        </is>
      </c>
      <c r="E33" s="10" t="inlineStr">
        <is>
          <t>Choix Mobile Money, Wave, Djamo ou Visa</t>
        </is>
      </c>
      <c r="F33" s="10" t="inlineStr">
        <is>
          <t>Planche A — écran 04c</t>
        </is>
      </c>
      <c r="G33" s="20" t="inlineStr">
        <is>
          <t>Développé</t>
        </is>
      </c>
      <c r="H33" s="22" t="inlineStr">
        <is>
          <t>Bloquant</t>
        </is>
      </c>
      <c r="I33" s="9" t="n"/>
      <c r="J33" s="10" t="n"/>
    </row>
    <row r="34">
      <c r="A34" s="10" t="inlineStr">
        <is>
          <t>ACH-05</t>
        </is>
      </c>
      <c r="B34" s="10" t="inlineStr">
        <is>
          <t>Tunnel d'achat</t>
        </is>
      </c>
      <c r="C34" s="10" t="inlineStr">
        <is>
          <t>/achat/paiement</t>
        </is>
      </c>
      <c r="D34" s="10" t="inlineStr">
        <is>
          <t>Paiement accepté</t>
        </is>
      </c>
      <c r="E34" s="10" t="inlineStr">
        <is>
          <t>Commande + transaction enregistrées, accès au module ouvert immédiatement</t>
        </is>
      </c>
      <c r="F34" s="10" t="inlineStr">
        <is>
          <t>Planche E — parcours 01</t>
        </is>
      </c>
      <c r="G34" s="23" t="inlineStr">
        <is>
          <t>Développé — échange simulé</t>
        </is>
      </c>
      <c r="H34" s="22" t="inlineStr">
        <is>
          <t>Bloquant</t>
        </is>
      </c>
      <c r="I34" s="9" t="n"/>
      <c r="J34" s="10" t="n"/>
    </row>
    <row r="35">
      <c r="A35" s="10" t="inlineStr">
        <is>
          <t>ACH-06</t>
        </is>
      </c>
      <c r="B35" s="10" t="inlineStr">
        <is>
          <t>Tunnel d'achat</t>
        </is>
      </c>
      <c r="C35" s="10" t="inlineStr">
        <is>
          <t>/achat/paiement</t>
        </is>
      </c>
      <c r="D35" s="10" t="inlineStr">
        <is>
          <t>Les 6 motifs d'échec</t>
        </is>
      </c>
      <c r="E35" s="10" t="inlineStr">
        <is>
          <t>Solde insuffisant, annulation, délai dépassé, réseau opérateur, carte refusée, erreur inconnue : HTTP 402, message clair, transaction tracée et filtrable</t>
        </is>
      </c>
      <c r="F35" s="10" t="inlineStr">
        <is>
          <t>Planche A — écran 04c</t>
        </is>
      </c>
      <c r="G35" s="23" t="inlineStr">
        <is>
          <t>Développé — échange simulé</t>
        </is>
      </c>
      <c r="H35" s="9" t="inlineStr">
        <is>
          <t>Majeur</t>
        </is>
      </c>
      <c r="I35" s="9" t="n"/>
      <c r="J35" s="10" t="n"/>
    </row>
    <row r="36">
      <c r="A36" s="10" t="inlineStr">
        <is>
          <t>ACH-07</t>
        </is>
      </c>
      <c r="B36" s="10" t="inlineStr">
        <is>
          <t>Tunnel d'achat</t>
        </is>
      </c>
      <c r="C36" s="10" t="inlineStr">
        <is>
          <t>server/api/commandes.post.ts</t>
        </is>
      </c>
      <c r="D36" s="10" t="inlineStr">
        <is>
          <t>Encaissement réel FeexPay</t>
        </is>
      </c>
      <c r="E36" s="10" t="inlineStr">
        <is>
          <t>Appel à l'API FeexPay, redirection de paiement, retour signé vérifié</t>
        </is>
      </c>
      <c r="F36" s="10" t="inlineStr">
        <is>
          <t>E-mail de lancement · Planche E</t>
        </is>
      </c>
      <c r="G36" s="21" t="inlineStr">
        <is>
          <t>Non développé</t>
        </is>
      </c>
      <c r="H36" s="22" t="inlineStr">
        <is>
          <t>Bloquant</t>
        </is>
      </c>
      <c r="I36" s="9" t="n"/>
      <c r="J36" s="10" t="n"/>
    </row>
    <row r="37">
      <c r="A37" s="10" t="inlineStr">
        <is>
          <t>ACH-08</t>
        </is>
      </c>
      <c r="B37" s="10" t="inlineStr">
        <is>
          <t>Tunnel d'achat</t>
        </is>
      </c>
      <c r="C37" s="10" t="inlineStr">
        <is>
          <t>À créer</t>
        </is>
      </c>
      <c r="D37" s="10" t="inlineStr">
        <is>
          <t>Webhook / URL de retour FeexPay</t>
        </is>
      </c>
      <c r="E37" s="10" t="inlineStr">
        <is>
          <t>Endpoint public qui reçoit et vérifie la notification du prestataire, idempotent</t>
        </is>
      </c>
      <c r="F37" s="10" t="inlineStr">
        <is>
          <t>Intégration FeexPay</t>
        </is>
      </c>
      <c r="G37" s="21" t="inlineStr">
        <is>
          <t>Non développé</t>
        </is>
      </c>
      <c r="H37" s="22" t="inlineStr">
        <is>
          <t>Bloquant</t>
        </is>
      </c>
      <c r="I37" s="9" t="n"/>
      <c r="J37" s="10" t="n"/>
    </row>
    <row r="38">
      <c r="A38" s="10" t="inlineStr">
        <is>
          <t>ACH-09</t>
        </is>
      </c>
      <c r="B38" s="10" t="inlineStr">
        <is>
          <t>Tunnel d'achat</t>
        </is>
      </c>
      <c r="C38" s="10" t="inlineStr">
        <is>
          <t>/admin/transactions</t>
        </is>
      </c>
      <c r="D38" s="10" t="inlineStr">
        <is>
          <t>Rapprochement quotidien</t>
        </is>
      </c>
      <c r="E38" s="10" t="inlineStr">
        <is>
          <t>Confrontation des transactions plateforme et du relevé FeexPay</t>
        </is>
      </c>
      <c r="F38" s="10" t="inlineStr">
        <is>
          <t>Planche C — écran 18f</t>
        </is>
      </c>
      <c r="G38" s="21" t="inlineStr">
        <is>
          <t>Non développé</t>
        </is>
      </c>
      <c r="H38" s="9" t="inlineStr">
        <is>
          <t>Majeur</t>
        </is>
      </c>
      <c r="I38" s="9" t="n"/>
      <c r="J38" s="10" t="n"/>
    </row>
    <row r="39">
      <c r="A39" s="10" t="inlineStr">
        <is>
          <t>ACH-10</t>
        </is>
      </c>
      <c r="B39" s="10" t="inlineStr">
        <is>
          <t>Tunnel d'achat</t>
        </is>
      </c>
      <c r="C39" s="10" t="inlineStr">
        <is>
          <t>Notifications</t>
        </is>
      </c>
      <c r="D39" s="10" t="inlineStr">
        <is>
          <t>E-mail de confirmation d'achat</t>
        </is>
      </c>
      <c r="E39" s="10" t="inlineStr">
        <is>
          <t>L'apprenant reçoit sa confirmation et sa facture</t>
        </is>
      </c>
      <c r="F39" s="10" t="inlineStr">
        <is>
          <t>Planche E — parcours 01</t>
        </is>
      </c>
      <c r="G39" s="21" t="inlineStr">
        <is>
          <t>Bloqué — prestataire</t>
        </is>
      </c>
      <c r="H39" s="9" t="inlineStr">
        <is>
          <t>Majeur</t>
        </is>
      </c>
      <c r="I39" s="9" t="n"/>
      <c r="J39" s="10" t="n"/>
    </row>
    <row r="40">
      <c r="A40" s="10" t="inlineStr">
        <is>
          <t>ACH-11</t>
        </is>
      </c>
      <c r="B40" s="10" t="inlineStr">
        <is>
          <t>Tunnel d'achat</t>
        </is>
      </c>
      <c r="C40" s="10" t="inlineStr">
        <is>
          <t>/mon-espace/modules</t>
        </is>
      </c>
      <c r="D40" s="10" t="inlineStr">
        <is>
          <t>Accès à vie</t>
        </is>
      </c>
      <c r="E40" s="10" t="inlineStr">
        <is>
          <t>Le module acheté reste accessible sans limite de durée</t>
        </is>
      </c>
      <c r="F40" s="10" t="inlineStr">
        <is>
          <t>Modèle économique</t>
        </is>
      </c>
      <c r="G40" s="20" t="inlineStr">
        <is>
          <t>Développé</t>
        </is>
      </c>
      <c r="H40" s="9" t="inlineStr">
        <is>
          <t>Majeur</t>
        </is>
      </c>
      <c r="I40" s="9" t="n"/>
      <c r="J40" s="10" t="n"/>
    </row>
    <row r="41">
      <c r="A41" s="10" t="inlineStr">
        <is>
          <t>ACH-12</t>
        </is>
      </c>
      <c r="B41" s="10" t="inlineStr">
        <is>
          <t>Tunnel d'achat</t>
        </is>
      </c>
      <c r="C41" s="10" t="inlineStr">
        <is>
          <t>/admin/parametres</t>
        </is>
      </c>
      <c r="D41" s="10" t="inlineStr">
        <is>
          <t>Frais de paiement</t>
        </is>
      </c>
      <c r="E41" s="10" t="inlineStr">
        <is>
          <t>Taux FeexPay paramétrable (4 % par défaut) et réservé à l'administrateur supérieur</t>
        </is>
      </c>
      <c r="F41" s="10" t="inlineStr">
        <is>
          <t>Modèle économique</t>
        </is>
      </c>
      <c r="G41" s="20" t="inlineStr">
        <is>
          <t>Développé</t>
        </is>
      </c>
      <c r="H41" s="9" t="inlineStr">
        <is>
          <t>Majeur</t>
        </is>
      </c>
      <c r="I41" s="9" t="n"/>
      <c r="J41" s="10" t="n"/>
    </row>
    <row r="42">
      <c r="A42" s="10" t="inlineStr">
        <is>
          <t>APP-01</t>
        </is>
      </c>
      <c r="B42" s="10" t="inlineStr">
        <is>
          <t>Espace apprenant</t>
        </is>
      </c>
      <c r="C42" s="10" t="inlineStr">
        <is>
          <t>/mon-espace</t>
        </is>
      </c>
      <c r="D42" s="10" t="inlineStr">
        <is>
          <t>Tableau de bord</t>
        </is>
      </c>
      <c r="E42" s="10" t="inlineStr">
        <is>
          <t>Modules en cours, progression, prochaine session, dernières attestations</t>
        </is>
      </c>
      <c r="F42" s="10" t="inlineStr">
        <is>
          <t>Planche B</t>
        </is>
      </c>
      <c r="G42" s="20" t="inlineStr">
        <is>
          <t>Développé</t>
        </is>
      </c>
      <c r="H42" s="9" t="inlineStr">
        <is>
          <t>Majeur</t>
        </is>
      </c>
      <c r="I42" s="9" t="n"/>
      <c r="J42" s="10" t="n"/>
    </row>
    <row r="43">
      <c r="A43" s="10" t="inlineStr">
        <is>
          <t>APP-02</t>
        </is>
      </c>
      <c r="B43" s="10" t="inlineStr">
        <is>
          <t>Espace apprenant</t>
        </is>
      </c>
      <c r="C43" s="10" t="inlineStr">
        <is>
          <t>/mon-espace/modules</t>
        </is>
      </c>
      <c r="D43" s="10" t="inlineStr">
        <is>
          <t>Mes modules</t>
        </is>
      </c>
      <c r="E43" s="10" t="inlineStr">
        <is>
          <t>Uniquement les modules achetés ou attribués</t>
        </is>
      </c>
      <c r="F43" s="10" t="inlineStr">
        <is>
          <t>Planche B</t>
        </is>
      </c>
      <c r="G43" s="20" t="inlineStr">
        <is>
          <t>Développé</t>
        </is>
      </c>
      <c r="H43" s="9" t="inlineStr">
        <is>
          <t>Majeur</t>
        </is>
      </c>
      <c r="I43" s="9" t="n"/>
      <c r="J43" s="10" t="n"/>
    </row>
    <row r="44">
      <c r="A44" s="10" t="inlineStr">
        <is>
          <t>APP-03</t>
        </is>
      </c>
      <c r="B44" s="10" t="inlineStr">
        <is>
          <t>Espace apprenant</t>
        </is>
      </c>
      <c r="C44" s="10" t="inlineStr">
        <is>
          <t>/mon-espace/module/[slug]</t>
        </is>
      </c>
      <c r="D44" s="10" t="inlineStr">
        <is>
          <t>Détail d'un module</t>
        </is>
      </c>
      <c r="E44" s="10" t="inlineStr">
        <is>
          <t>Chapitres, ressources, progression, accès au lecteur</t>
        </is>
      </c>
      <c r="F44" s="10" t="inlineStr">
        <is>
          <t>Planche B</t>
        </is>
      </c>
      <c r="G44" s="20" t="inlineStr">
        <is>
          <t>Développé</t>
        </is>
      </c>
      <c r="H44" s="9" t="inlineStr">
        <is>
          <t>Majeur</t>
        </is>
      </c>
      <c r="I44" s="9" t="n"/>
      <c r="J44" s="10" t="n"/>
    </row>
    <row r="45">
      <c r="A45" s="10" t="inlineStr">
        <is>
          <t>APP-04</t>
        </is>
      </c>
      <c r="B45" s="10" t="inlineStr">
        <is>
          <t>Espace apprenant</t>
        </is>
      </c>
      <c r="C45" s="10" t="inlineStr">
        <is>
          <t>/mon-espace/sessions</t>
        </is>
      </c>
      <c r="D45" s="10" t="inlineStr">
        <is>
          <t>Mes coachings collectifs</t>
        </is>
      </c>
      <c r="E45" s="10" t="inlineStr">
        <is>
          <t>Sessions réservées, lien de séance à l'heure dite</t>
        </is>
      </c>
      <c r="F45" s="10" t="inlineStr">
        <is>
          <t>Planche B</t>
        </is>
      </c>
      <c r="G45" s="20" t="inlineStr">
        <is>
          <t>Développé</t>
        </is>
      </c>
      <c r="H45" s="9" t="inlineStr">
        <is>
          <t>Majeur</t>
        </is>
      </c>
      <c r="I45" s="9" t="n"/>
      <c r="J45" s="10" t="n"/>
    </row>
    <row r="46">
      <c r="A46" s="10" t="inlineStr">
        <is>
          <t>APP-05</t>
        </is>
      </c>
      <c r="B46" s="10" t="inlineStr">
        <is>
          <t>Espace apprenant</t>
        </is>
      </c>
      <c r="C46" s="10" t="inlineStr">
        <is>
          <t>/mon-espace/certificats</t>
        </is>
      </c>
      <c r="D46" s="10" t="inlineStr">
        <is>
          <t>Mes attestations</t>
        </is>
      </c>
      <c r="E46" s="10" t="inlineStr">
        <is>
          <t>Attestations délivrées et modules terminés en attente de délivrance</t>
        </is>
      </c>
      <c r="F46" s="10" t="inlineStr">
        <is>
          <t>Planche B</t>
        </is>
      </c>
      <c r="G46" s="20" t="inlineStr">
        <is>
          <t>Développé</t>
        </is>
      </c>
      <c r="H46" s="9" t="inlineStr">
        <is>
          <t>Majeur</t>
        </is>
      </c>
      <c r="I46" s="9" t="n"/>
      <c r="J46" s="10" t="n"/>
    </row>
    <row r="47">
      <c r="A47" s="10" t="inlineStr">
        <is>
          <t>APP-06</t>
        </is>
      </c>
      <c r="B47" s="10" t="inlineStr">
        <is>
          <t>Espace apprenant</t>
        </is>
      </c>
      <c r="C47" s="10" t="inlineStr">
        <is>
          <t>/mon-espace/profil</t>
        </is>
      </c>
      <c r="D47" s="10" t="inlineStr">
        <is>
          <t>Fiche apprenant (persona)</t>
        </is>
      </c>
      <c r="E47" s="10" t="inlineStr">
        <is>
          <t>Formulaire persisté, exigé avant réservation d'un coaching</t>
        </is>
      </c>
      <c r="F47" s="10" t="inlineStr">
        <is>
          <t>Planche B</t>
        </is>
      </c>
      <c r="G47" s="20" t="inlineStr">
        <is>
          <t>Développé</t>
        </is>
      </c>
      <c r="H47" s="9" t="inlineStr">
        <is>
          <t>Majeur</t>
        </is>
      </c>
      <c r="I47" s="9" t="n"/>
      <c r="J47" s="10" t="n"/>
    </row>
    <row r="48">
      <c r="A48" s="10" t="inlineStr">
        <is>
          <t>APP-07</t>
        </is>
      </c>
      <c r="B48" s="10" t="inlineStr">
        <is>
          <t>Espace apprenant</t>
        </is>
      </c>
      <c r="C48" s="10" t="inlineStr">
        <is>
          <t>/mon-espace/parametres</t>
        </is>
      </c>
      <c r="D48" s="10" t="inlineStr">
        <is>
          <t>Paramètres du compte</t>
        </is>
      </c>
      <c r="E48" s="10" t="inlineStr">
        <is>
          <t>Changement d'e-mail, de mot de passe, préférences de notification, suppression du compte</t>
        </is>
      </c>
      <c r="F48" s="10" t="inlineStr">
        <is>
          <t>Planche B — écrans 11 et 12</t>
        </is>
      </c>
      <c r="G48" s="20" t="inlineStr">
        <is>
          <t>Développé</t>
        </is>
      </c>
      <c r="H48" s="9" t="inlineStr">
        <is>
          <t>Majeur</t>
        </is>
      </c>
      <c r="I48" s="9" t="n"/>
      <c r="J48" s="10" t="n"/>
    </row>
    <row r="49">
      <c r="A49" s="10" t="inlineStr">
        <is>
          <t>APP-08</t>
        </is>
      </c>
      <c r="B49" s="10" t="inlineStr">
        <is>
          <t>Espace apprenant</t>
        </is>
      </c>
      <c r="C49" s="10" t="inlineStr">
        <is>
          <t>/mon-espace/parametres</t>
        </is>
      </c>
      <c r="D49" s="10" t="inlineStr">
        <is>
          <t>Suppression douce</t>
        </is>
      </c>
      <c r="E49" s="10" t="inlineStr">
        <is>
          <t>Le compte ne peut plus se connecter, l'e-mail est libéré, les écritures comptables restent</t>
        </is>
      </c>
      <c r="F49" s="10" t="inlineStr">
        <is>
          <t>Planche E</t>
        </is>
      </c>
      <c r="G49" s="20" t="inlineStr">
        <is>
          <t>Développé</t>
        </is>
      </c>
      <c r="H49" s="9" t="inlineStr">
        <is>
          <t>Majeur</t>
        </is>
      </c>
      <c r="I49" s="9" t="n"/>
      <c r="J49" s="10" t="n"/>
    </row>
    <row r="50">
      <c r="A50" s="10" t="inlineStr">
        <is>
          <t>APP-09</t>
        </is>
      </c>
      <c r="B50" s="10" t="inlineStr">
        <is>
          <t>Espace apprenant</t>
        </is>
      </c>
      <c r="C50" s="10" t="inlineStr">
        <is>
          <t>/mon-espace/coaching-prive</t>
        </is>
      </c>
      <c r="D50" s="10" t="inlineStr">
        <is>
          <t>Demande de coaching privé</t>
        </is>
      </c>
      <c r="E50" s="10" t="inlineStr">
        <is>
          <t>Choix d'un formateur actif, créneaux, questions obligatoires</t>
        </is>
      </c>
      <c r="F50" s="10" t="inlineStr">
        <is>
          <t>Planche E — parcours 03</t>
        </is>
      </c>
      <c r="G50" s="20" t="inlineStr">
        <is>
          <t>Développé</t>
        </is>
      </c>
      <c r="H50" s="9" t="inlineStr">
        <is>
          <t>Majeur</t>
        </is>
      </c>
      <c r="I50" s="9" t="n"/>
      <c r="J50" s="10" t="n"/>
    </row>
    <row r="51">
      <c r="A51" s="10" t="inlineStr">
        <is>
          <t>APP-10</t>
        </is>
      </c>
      <c r="B51" s="10" t="inlineStr">
        <is>
          <t>Espace apprenant</t>
        </is>
      </c>
      <c r="C51" s="10" t="inlineStr">
        <is>
          <t>/hors-ligne</t>
        </is>
      </c>
      <c r="D51" s="10" t="inlineStr">
        <is>
          <t>Écran hors ligne</t>
        </is>
      </c>
      <c r="E51" s="10" t="inlineStr">
        <is>
          <t>Servi par le service worker quand le réseau tombe</t>
        </is>
      </c>
      <c r="F51" s="10" t="inlineStr">
        <is>
          <t>Planche B</t>
        </is>
      </c>
      <c r="G51" s="20" t="inlineStr">
        <is>
          <t>Développé</t>
        </is>
      </c>
      <c r="H51" s="9" t="inlineStr">
        <is>
          <t>Mineur</t>
        </is>
      </c>
      <c r="I51" s="9" t="n"/>
      <c r="J51" s="10" t="n"/>
    </row>
    <row r="52">
      <c r="A52" s="10" t="inlineStr">
        <is>
          <t>APP-11</t>
        </is>
      </c>
      <c r="B52" s="10" t="inlineStr">
        <is>
          <t>Espace apprenant</t>
        </is>
      </c>
      <c r="C52" s="10" t="inlineStr">
        <is>
          <t>PWA</t>
        </is>
      </c>
      <c r="D52" s="10" t="inlineStr">
        <is>
          <t>Installation de l'application</t>
        </is>
      </c>
      <c r="E52" s="10" t="inlineStr">
        <is>
          <t>Manifeste, icônes (dont maskable), service worker ; comptes, paiements et back-office exclus du cache</t>
        </is>
      </c>
      <c r="F52" s="10" t="inlineStr">
        <is>
          <t>Spéc. SEO §11</t>
        </is>
      </c>
      <c r="G52" s="20" t="inlineStr">
        <is>
          <t>Développé</t>
        </is>
      </c>
      <c r="H52" s="9" t="inlineStr">
        <is>
          <t>Mineur</t>
        </is>
      </c>
      <c r="I52" s="9" t="n"/>
      <c r="J52" s="10" t="n"/>
    </row>
    <row r="53">
      <c r="A53" s="10" t="inlineStr">
        <is>
          <t>VID-01</t>
        </is>
      </c>
      <c r="B53" s="10" t="inlineStr">
        <is>
          <t>Lecteur vidéo</t>
        </is>
      </c>
      <c r="C53" s="10" t="inlineStr">
        <is>
          <t>/mon-espace/lecture/[slug]</t>
        </is>
      </c>
      <c r="D53" s="10" t="inlineStr">
        <is>
          <t>Filigrane nominatif</t>
        </is>
      </c>
      <c r="E53" s="10" t="inlineStr">
        <is>
          <t>Nom et e-mail de l'apprenant affichés en permanence sur la vidéo</t>
        </is>
      </c>
      <c r="F53" s="10" t="inlineStr">
        <is>
          <t>Planche B</t>
        </is>
      </c>
      <c r="G53" s="20" t="inlineStr">
        <is>
          <t>Développé</t>
        </is>
      </c>
      <c r="H53" s="9" t="inlineStr">
        <is>
          <t>Majeur</t>
        </is>
      </c>
      <c r="I53" s="9" t="n"/>
      <c r="J53" s="10" t="n"/>
    </row>
    <row r="54">
      <c r="A54" s="10" t="inlineStr">
        <is>
          <t>VID-02</t>
        </is>
      </c>
      <c r="B54" s="10" t="inlineStr">
        <is>
          <t>Lecteur vidéo</t>
        </is>
      </c>
      <c r="C54" s="10" t="inlineStr">
        <is>
          <t>/mon-espace/lecture/[slug]</t>
        </is>
      </c>
      <c r="D54" s="10" t="inlineStr">
        <is>
          <t>Script synchronisé</t>
        </is>
      </c>
      <c r="E54" s="10" t="inlineStr">
        <is>
          <t>Le script défile et chaque timecode est cliquable</t>
        </is>
      </c>
      <c r="F54" s="10" t="inlineStr">
        <is>
          <t>Planche B</t>
        </is>
      </c>
      <c r="G54" s="21" t="inlineStr">
        <is>
          <t>Bloqué — contenu client</t>
        </is>
      </c>
      <c r="H54" s="9" t="inlineStr">
        <is>
          <t>Majeur</t>
        </is>
      </c>
      <c r="I54" s="9" t="n"/>
      <c r="J54" s="10" t="n"/>
    </row>
    <row r="55">
      <c r="A55" s="10" t="inlineStr">
        <is>
          <t>VID-03</t>
        </is>
      </c>
      <c r="B55" s="10" t="inlineStr">
        <is>
          <t>Lecteur vidéo</t>
        </is>
      </c>
      <c r="C55" s="10" t="inlineStr">
        <is>
          <t>/mon-espace/lecture/[slug]</t>
        </is>
      </c>
      <c r="D55" s="10" t="inlineStr">
        <is>
          <t>Progression honnête</t>
        </is>
      </c>
      <c r="E55" s="10" t="inlineStr">
        <is>
          <t>L'avance rapide ne valide pas la progression, et c'est écrit à l'écran</t>
        </is>
      </c>
      <c r="F55" s="10" t="inlineStr">
        <is>
          <t>Planche B</t>
        </is>
      </c>
      <c r="G55" s="20" t="inlineStr">
        <is>
          <t>Développé</t>
        </is>
      </c>
      <c r="H55" s="9" t="inlineStr">
        <is>
          <t>Majeur</t>
        </is>
      </c>
      <c r="I55" s="9" t="n"/>
      <c r="J55" s="10" t="n"/>
    </row>
    <row r="56">
      <c r="A56" s="10" t="inlineStr">
        <is>
          <t>VID-04</t>
        </is>
      </c>
      <c r="B56" s="10" t="inlineStr">
        <is>
          <t>Lecteur vidéo</t>
        </is>
      </c>
      <c r="C56" s="10" t="inlineStr">
        <is>
          <t>API + Worker Cloudflare</t>
        </is>
      </c>
      <c r="D56" s="10" t="inlineStr">
        <is>
          <t>Autorisation signée</t>
        </is>
      </c>
      <c r="E56" s="10" t="inlineStr">
        <is>
          <t>URL nominative valable 4 h, recalculée par le Worker ; aucun segment ne passe par le serveur Nuxt</t>
        </is>
      </c>
      <c r="F56" s="10" t="inlineStr">
        <is>
          <t>Architecture vidéo</t>
        </is>
      </c>
      <c r="G56" s="20" t="inlineStr">
        <is>
          <t>Développé</t>
        </is>
      </c>
      <c r="H56" s="9" t="inlineStr">
        <is>
          <t>Majeur</t>
        </is>
      </c>
      <c r="I56" s="9" t="n"/>
      <c r="J56" s="10" t="n"/>
    </row>
    <row r="57">
      <c r="A57" s="10" t="inlineStr">
        <is>
          <t>VID-05</t>
        </is>
      </c>
      <c r="B57" s="10" t="inlineStr">
        <is>
          <t>Lecteur vidéo</t>
        </is>
      </c>
      <c r="C57" s="10" t="inlineStr">
        <is>
          <t>Worker Cloudflare</t>
        </is>
      </c>
      <c r="D57" s="10" t="inlineStr">
        <is>
          <t>Cloisonnement des chapitres</t>
        </is>
      </c>
      <c r="E57" s="10" t="inlineStr">
        <is>
          <t>Une autorisation pour un chapitre ne donne accès à aucun autre — vérifié le 02/09</t>
        </is>
      </c>
      <c r="F57" s="10" t="inlineStr">
        <is>
          <t>Architecture vidéo</t>
        </is>
      </c>
      <c r="G57" s="20" t="inlineStr">
        <is>
          <t>Développé</t>
        </is>
      </c>
      <c r="H57" s="22" t="inlineStr">
        <is>
          <t>Bloquant</t>
        </is>
      </c>
      <c r="I57" s="9" t="n"/>
      <c r="J57" s="10" t="n"/>
    </row>
    <row r="58">
      <c r="A58" s="10" t="inlineStr">
        <is>
          <t>VID-06</t>
        </is>
      </c>
      <c r="B58" s="10" t="inlineStr">
        <is>
          <t>Lecteur vidéo</t>
        </is>
      </c>
      <c r="C58" s="10" t="inlineStr">
        <is>
          <t>npm run video:verifier</t>
        </is>
      </c>
      <c r="D58" s="10" t="inlineStr">
        <is>
          <t>Signature locale = signature Worker</t>
        </is>
      </c>
      <c r="E58" s="10" t="inlineStr">
        <is>
          <t>Le script échoue si les deux implémentations divergent</t>
        </is>
      </c>
      <c r="F58" s="10" t="inlineStr">
        <is>
          <t>Architecture vidéo</t>
        </is>
      </c>
      <c r="G58" s="20" t="inlineStr">
        <is>
          <t>Développé</t>
        </is>
      </c>
      <c r="H58" s="9" t="inlineStr">
        <is>
          <t>Majeur</t>
        </is>
      </c>
      <c r="I58" s="9" t="n"/>
      <c r="J58" s="10" t="n"/>
    </row>
    <row r="59">
      <c r="A59" s="10" t="inlineStr">
        <is>
          <t>VID-07</t>
        </is>
      </c>
      <c r="B59" s="10" t="inlineStr">
        <is>
          <t>Lecteur vidéo</t>
        </is>
      </c>
      <c r="C59" s="10" t="inlineStr">
        <is>
          <t>medias/hls</t>
        </is>
      </c>
      <c r="D59" s="10" t="inlineStr">
        <is>
          <t>Vidéos définitives</t>
        </is>
      </c>
      <c r="E59" s="10" t="inlineStr">
        <is>
          <t>Les 18 modules (72 chapitres) transcodés et publiés — 2 chapitres de démonstration seulement à ce jour</t>
        </is>
      </c>
      <c r="F59" s="10" t="inlineStr">
        <is>
          <t>E-mail de lancement · TODO</t>
        </is>
      </c>
      <c r="G59" s="21" t="inlineStr">
        <is>
          <t>Bloqué — contenu client</t>
        </is>
      </c>
      <c r="H59" s="22" t="inlineStr">
        <is>
          <t>Bloquant</t>
        </is>
      </c>
      <c r="I59" s="9" t="n"/>
      <c r="J59" s="10" t="n"/>
    </row>
    <row r="60">
      <c r="A60" s="10" t="inlineStr">
        <is>
          <t>VID-08</t>
        </is>
      </c>
      <c r="B60" s="10" t="inlineStr">
        <is>
          <t>Lecteur vidéo</t>
        </is>
      </c>
      <c r="C60" s="10" t="inlineStr">
        <is>
          <t>supabase/en-ligne/06-video.sql</t>
        </is>
      </c>
      <c r="D60" s="10" t="inlineStr">
        <is>
          <t>Migration vidéo sur la base hébergée</t>
        </is>
      </c>
      <c r="E60" s="10" t="inlineStr">
        <is>
          <t>Colonnes vidéo et relevé de visionnage créés ; sans elle le lecteur affiche « pas encore en ligne » partout</t>
        </is>
      </c>
      <c r="F60" s="10" t="inlineStr">
        <is>
          <t>TODO §1</t>
        </is>
      </c>
      <c r="G60" s="23" t="inlineStr">
        <is>
          <t>À exécuter</t>
        </is>
      </c>
      <c r="H60" s="22" t="inlineStr">
        <is>
          <t>Bloquant</t>
        </is>
      </c>
      <c r="I60" s="9" t="n"/>
      <c r="J60" s="10" t="n"/>
    </row>
    <row r="61">
      <c r="A61" s="10" t="inlineStr">
        <is>
          <t>VID-09</t>
        </is>
      </c>
      <c r="B61" s="10" t="inlineStr">
        <is>
          <t>Lecteur vidéo</t>
        </is>
      </c>
      <c r="C61" s="10" t="inlineStr">
        <is>
          <t>supabase/en-ligne/rattrapage-videos.sql</t>
        </is>
      </c>
      <c r="D61" s="10" t="inlineStr">
        <is>
          <t>Rattachement des vidéos de démonstration</t>
        </is>
      </c>
      <c r="E61" s="10" t="inlineStr">
        <is>
          <t>Les deux chapitres de démonstration se lisent depuis le CDN</t>
        </is>
      </c>
      <c r="F61" s="10" t="inlineStr">
        <is>
          <t>TODO §1</t>
        </is>
      </c>
      <c r="G61" s="23" t="inlineStr">
        <is>
          <t>À exécuter</t>
        </is>
      </c>
      <c r="H61" s="9" t="inlineStr">
        <is>
          <t>Majeur</t>
        </is>
      </c>
      <c r="I61" s="9" t="n"/>
      <c r="J61" s="10" t="n"/>
    </row>
    <row r="62">
      <c r="A62" s="10" t="inlineStr">
        <is>
          <t>COL-01</t>
        </is>
      </c>
      <c r="B62" s="10" t="inlineStr">
        <is>
          <t>Coaching collectif</t>
        </is>
      </c>
      <c r="C62" s="10" t="inlineStr">
        <is>
          <t>/admin/sessions</t>
        </is>
      </c>
      <c r="D62" s="10" t="inlineStr">
        <is>
          <t>Règle de programmation</t>
        </is>
      </c>
      <c r="E62" s="10" t="inlineStr">
        <is>
          <t>Une session par couple thématique–formateur, 2 heures, 25 places</t>
        </is>
      </c>
      <c r="F62" s="10" t="inlineStr">
        <is>
          <t>Modèle économique</t>
        </is>
      </c>
      <c r="G62" s="20" t="inlineStr">
        <is>
          <t>Développé</t>
        </is>
      </c>
      <c r="H62" s="9" t="inlineStr">
        <is>
          <t>Majeur</t>
        </is>
      </c>
      <c r="I62" s="9" t="n"/>
      <c r="J62" s="10" t="n"/>
    </row>
    <row r="63">
      <c r="A63" s="10" t="inlineStr">
        <is>
          <t>COL-02</t>
        </is>
      </c>
      <c r="B63" s="10" t="inlineStr">
        <is>
          <t>Coaching collectif</t>
        </is>
      </c>
      <c r="C63" s="10" t="inlineStr">
        <is>
          <t>/mon-espace/sessions</t>
        </is>
      </c>
      <c r="D63" s="10" t="inlineStr">
        <is>
          <t>Éligibilité</t>
        </is>
      </c>
      <c r="E63" s="10" t="inlineStr">
        <is>
          <t>La session n'apparaît qu'aux apprenants possédant un module de la thématique</t>
        </is>
      </c>
      <c r="F63" s="10" t="inlineStr">
        <is>
          <t>Planche E — parcours 02</t>
        </is>
      </c>
      <c r="G63" s="20" t="inlineStr">
        <is>
          <t>Développé</t>
        </is>
      </c>
      <c r="H63" s="9" t="inlineStr">
        <is>
          <t>Majeur</t>
        </is>
      </c>
      <c r="I63" s="9" t="n"/>
      <c r="J63" s="10" t="n"/>
    </row>
    <row r="64">
      <c r="A64" s="10" t="inlineStr">
        <is>
          <t>COL-03</t>
        </is>
      </c>
      <c r="B64" s="10" t="inlineStr">
        <is>
          <t>Coaching collectif</t>
        </is>
      </c>
      <c r="C64" s="10" t="inlineStr">
        <is>
          <t>POST /api/mon-espace/sessions/reserver</t>
        </is>
      </c>
      <c r="D64" s="10" t="inlineStr">
        <is>
          <t>Conditions de réservation</t>
        </is>
      </c>
      <c r="E64" s="10" t="inlineStr">
        <is>
          <t>Fiche apprenant complète et deux réponses obligatoires, transmises au formateur</t>
        </is>
      </c>
      <c r="F64" s="10" t="inlineStr">
        <is>
          <t>Planche E — parcours 02</t>
        </is>
      </c>
      <c r="G64" s="20" t="inlineStr">
        <is>
          <t>Développé</t>
        </is>
      </c>
      <c r="H64" s="9" t="inlineStr">
        <is>
          <t>Majeur</t>
        </is>
      </c>
      <c r="I64" s="9" t="n"/>
      <c r="J64" s="10" t="n"/>
    </row>
    <row r="65">
      <c r="A65" s="10" t="inlineStr">
        <is>
          <t>COL-04</t>
        </is>
      </c>
      <c r="B65" s="10" t="inlineStr">
        <is>
          <t>Coaching collectif</t>
        </is>
      </c>
      <c r="C65" s="10" t="inlineStr">
        <is>
          <t>reserver_place_session()</t>
        </is>
      </c>
      <c r="D65" s="10" t="inlineStr">
        <is>
          <t>Dernière place</t>
        </is>
      </c>
      <c r="E65" s="10" t="inlineStr">
        <is>
          <t>Deux réservations simultanées sur la dernière place ne passent pas toutes les deux</t>
        </is>
      </c>
      <c r="F65" s="10" t="inlineStr">
        <is>
          <t>Fonctions métier</t>
        </is>
      </c>
      <c r="G65" s="20" t="inlineStr">
        <is>
          <t>Développé</t>
        </is>
      </c>
      <c r="H65" s="9" t="inlineStr">
        <is>
          <t>Majeur</t>
        </is>
      </c>
      <c r="I65" s="9" t="n"/>
      <c r="J65" s="10" t="n"/>
    </row>
    <row r="66">
      <c r="A66" s="10" t="inlineStr">
        <is>
          <t>COL-05</t>
        </is>
      </c>
      <c r="B66" s="10" t="inlineStr">
        <is>
          <t>Coaching collectif</t>
        </is>
      </c>
      <c r="C66" s="10" t="inlineStr">
        <is>
          <t>/mon-espace/session/[id]</t>
        </is>
      </c>
      <c r="D66" s="10" t="inlineStr">
        <is>
          <t>Salle de séance</t>
        </is>
      </c>
      <c r="E66" s="10" t="inlineStr">
        <is>
          <t>Zoom Meeting SDK intégré (Component View bureau, Client View mobile), jeton généré côté serveur</t>
        </is>
      </c>
      <c r="F66" s="10" t="inlineStr">
        <is>
          <t>Planche B</t>
        </is>
      </c>
      <c r="G66" s="21" t="inlineStr">
        <is>
          <t>Non développé</t>
        </is>
      </c>
      <c r="H66" s="22" t="inlineStr">
        <is>
          <t>Bloquant</t>
        </is>
      </c>
      <c r="I66" s="9" t="n"/>
      <c r="J66" s="10" t="n"/>
    </row>
    <row r="67">
      <c r="A67" s="10" t="inlineStr">
        <is>
          <t>COL-06</t>
        </is>
      </c>
      <c r="B67" s="10" t="inlineStr">
        <is>
          <t>Coaching collectif</t>
        </is>
      </c>
      <c r="C67" s="10" t="inlineStr">
        <is>
          <t>/admin/sessions</t>
        </is>
      </c>
      <c r="D67" s="10" t="inlineStr">
        <is>
          <t>Annulation notifiée</t>
        </is>
      </c>
      <c r="E67" s="10" t="inlineStr">
        <is>
          <t>Inscrits comptés, prévenus par e-mail et WhatsApp, action journalisée</t>
        </is>
      </c>
      <c r="F67" s="10" t="inlineStr">
        <is>
          <t>Planche E — parcours 02</t>
        </is>
      </c>
      <c r="G67" s="21" t="inlineStr">
        <is>
          <t>Bloqué — prestataire</t>
        </is>
      </c>
      <c r="H67" s="9" t="inlineStr">
        <is>
          <t>Majeur</t>
        </is>
      </c>
      <c r="I67" s="9" t="n"/>
      <c r="J67" s="10" t="n"/>
    </row>
    <row r="68">
      <c r="A68" s="10" t="inlineStr">
        <is>
          <t>COL-07</t>
        </is>
      </c>
      <c r="B68" s="10" t="inlineStr">
        <is>
          <t>Coaching collectif</t>
        </is>
      </c>
      <c r="C68" s="10" t="inlineStr">
        <is>
          <t>/admin/sessions</t>
        </is>
      </c>
      <c r="D68" s="10" t="inlineStr">
        <is>
          <t>Relevé de présence</t>
        </is>
      </c>
      <c r="E68" s="10" t="inlineStr">
        <is>
          <t>Colonne Présence renseignée après chaque séance ; sans elle les taux formateurs restent vides</t>
        </is>
      </c>
      <c r="F68" s="10" t="inlineStr">
        <is>
          <t>Planche C</t>
        </is>
      </c>
      <c r="G68" s="20" t="inlineStr">
        <is>
          <t>Développé</t>
        </is>
      </c>
      <c r="H68" s="9" t="inlineStr">
        <is>
          <t>Majeur</t>
        </is>
      </c>
      <c r="I68" s="9" t="n"/>
      <c r="J68" s="10" t="n"/>
    </row>
    <row r="69">
      <c r="A69" s="10" t="inlineStr">
        <is>
          <t>COL-08</t>
        </is>
      </c>
      <c r="B69" s="10" t="inlineStr">
        <is>
          <t>Coaching collectif</t>
        </is>
      </c>
      <c r="C69" s="10" t="inlineStr">
        <is>
          <t>/mon-espace/sessions</t>
        </is>
      </c>
      <c r="D69" s="10" t="inlineStr">
        <is>
          <t>Notation de la séance</t>
        </is>
      </c>
      <c r="E69" s="10" t="inlineStr">
        <is>
          <t>Proposée après la séance, visible de l'administration et du formateur, jamais publiée</t>
        </is>
      </c>
      <c r="F69" s="10" t="inlineStr">
        <is>
          <t>Modèle économique</t>
        </is>
      </c>
      <c r="G69" s="20" t="inlineStr">
        <is>
          <t>Développé</t>
        </is>
      </c>
      <c r="H69" s="9" t="inlineStr">
        <is>
          <t>Mineur</t>
        </is>
      </c>
      <c r="I69" s="9" t="n"/>
      <c r="J69" s="10" t="n"/>
    </row>
    <row r="70">
      <c r="A70" s="10" t="inlineStr">
        <is>
          <t>PRI-01</t>
        </is>
      </c>
      <c r="B70" s="10" t="inlineStr">
        <is>
          <t>Coaching privé</t>
        </is>
      </c>
      <c r="C70" s="10" t="inlineStr">
        <is>
          <t>/mon-espace/coaching-prive</t>
        </is>
      </c>
      <c r="D70" s="10" t="inlineStr">
        <is>
          <t>Dépôt de la demande</t>
        </is>
      </c>
      <c r="E70" s="10" t="inlineStr">
        <is>
          <t>Formateur actif, créneaux souhaités, questions obligatoires renseignées</t>
        </is>
      </c>
      <c r="F70" s="10" t="inlineStr">
        <is>
          <t>Planche E — parcours 03</t>
        </is>
      </c>
      <c r="G70" s="20" t="inlineStr">
        <is>
          <t>Développé</t>
        </is>
      </c>
      <c r="H70" s="9" t="inlineStr">
        <is>
          <t>Majeur</t>
        </is>
      </c>
      <c r="I70" s="9" t="n"/>
      <c r="J70" s="10" t="n"/>
    </row>
    <row r="71">
      <c r="A71" s="10" t="inlineStr">
        <is>
          <t>PRI-02</t>
        </is>
      </c>
      <c r="B71" s="10" t="inlineStr">
        <is>
          <t>Coaching privé</t>
        </is>
      </c>
      <c r="C71" s="10" t="inlineStr">
        <is>
          <t>/admin/coaching-prive</t>
        </is>
      </c>
      <c r="D71" s="10" t="inlineStr">
        <is>
          <t>Cycle de traitement</t>
        </is>
      </c>
      <c r="E71" s="10" t="inlineStr">
        <is>
          <t>Confirmer → payée → planifiée → réalisée, chaque étape journalisée</t>
        </is>
      </c>
      <c r="F71" s="10" t="inlineStr">
        <is>
          <t>Planche E — parcours 03</t>
        </is>
      </c>
      <c r="G71" s="20" t="inlineStr">
        <is>
          <t>Développé</t>
        </is>
      </c>
      <c r="H71" s="9" t="inlineStr">
        <is>
          <t>Majeur</t>
        </is>
      </c>
      <c r="I71" s="9" t="n"/>
      <c r="J71" s="10" t="n"/>
    </row>
    <row r="72">
      <c r="A72" s="10" t="inlineStr">
        <is>
          <t>PRI-03</t>
        </is>
      </c>
      <c r="B72" s="10" t="inlineStr">
        <is>
          <t>Coaching privé</t>
        </is>
      </c>
      <c r="C72" s="10" t="inlineStr">
        <is>
          <t>/admin/coaching-prive</t>
        </is>
      </c>
      <c r="D72" s="10" t="inlineStr">
        <is>
          <t>Refus motivé</t>
        </is>
      </c>
      <c r="E72" s="10" t="inlineStr">
        <is>
          <t>Le refus exige un motif, transmis à l'apprenant</t>
        </is>
      </c>
      <c r="F72" s="10" t="inlineStr">
        <is>
          <t>Planche E — parcours 03</t>
        </is>
      </c>
      <c r="G72" s="20" t="inlineStr">
        <is>
          <t>Développé</t>
        </is>
      </c>
      <c r="H72" s="9" t="inlineStr">
        <is>
          <t>Majeur</t>
        </is>
      </c>
      <c r="I72" s="9" t="n"/>
      <c r="J72" s="10" t="n"/>
    </row>
    <row r="73">
      <c r="A73" s="10" t="inlineStr">
        <is>
          <t>PRI-04</t>
        </is>
      </c>
      <c r="B73" s="10" t="inlineStr">
        <is>
          <t>Coaching privé</t>
        </is>
      </c>
      <c r="C73" s="10" t="inlineStr">
        <is>
          <t>/formateur/coaching-prive</t>
        </is>
      </c>
      <c r="D73" s="10" t="inlineStr">
        <is>
          <t>Séance côté formateur</t>
        </is>
      </c>
      <c r="E73" s="10" t="inlineStr">
        <is>
          <t>Demandes planifiées, lien de séance, suivi daté</t>
        </is>
      </c>
      <c r="F73" s="10" t="inlineStr">
        <is>
          <t>Planche D — écran 05</t>
        </is>
      </c>
      <c r="G73" s="20" t="inlineStr">
        <is>
          <t>Développé</t>
        </is>
      </c>
      <c r="H73" s="9" t="inlineStr">
        <is>
          <t>Majeur</t>
        </is>
      </c>
      <c r="I73" s="9" t="n"/>
      <c r="J73" s="10" t="n"/>
    </row>
    <row r="74">
      <c r="A74" s="10" t="inlineStr">
        <is>
          <t>PRI-05</t>
        </is>
      </c>
      <c r="B74" s="10" t="inlineStr">
        <is>
          <t>Coaching privé</t>
        </is>
      </c>
      <c r="C74" s="10" t="inlineStr">
        <is>
          <t>/mon-espace/coaching-prive</t>
        </is>
      </c>
      <c r="D74" s="10" t="inlineStr">
        <is>
          <t>Suivi et notation</t>
        </is>
      </c>
      <c r="E74" s="10" t="inlineStr">
        <is>
          <t>Suivi daté visible de l'apprenant, notation après la séance</t>
        </is>
      </c>
      <c r="F74" s="10" t="inlineStr">
        <is>
          <t>Planche E — parcours 03</t>
        </is>
      </c>
      <c r="G74" s="20" t="inlineStr">
        <is>
          <t>Développé</t>
        </is>
      </c>
      <c r="H74" s="9" t="inlineStr">
        <is>
          <t>Mineur</t>
        </is>
      </c>
      <c r="I74" s="9" t="n"/>
      <c r="J74" s="10" t="n"/>
    </row>
    <row r="75">
      <c r="A75" s="10" t="inlineStr">
        <is>
          <t>PRI-06</t>
        </is>
      </c>
      <c r="B75" s="10" t="inlineStr">
        <is>
          <t>Coaching privé</t>
        </is>
      </c>
      <c r="C75" s="10" t="inlineStr">
        <is>
          <t>formateurs.coaching_prive_actif</t>
        </is>
      </c>
      <c r="D75" s="10" t="inlineStr">
        <is>
          <t>Bascule administrateur</t>
        </is>
      </c>
      <c r="E75" s="10" t="inlineStr">
        <is>
          <t>Le drapeau verrouille la section du formateur et filtre les formateurs proposés ; action journalisée</t>
        </is>
      </c>
      <c r="F75" s="10" t="inlineStr">
        <is>
          <t>Planche D — écran 05</t>
        </is>
      </c>
      <c r="G75" s="20" t="inlineStr">
        <is>
          <t>Développé</t>
        </is>
      </c>
      <c r="H75" s="9" t="inlineStr">
        <is>
          <t>Majeur</t>
        </is>
      </c>
      <c r="I75" s="9" t="n"/>
      <c r="J75" s="10" t="n"/>
    </row>
    <row r="76">
      <c r="A76" s="10" t="inlineStr">
        <is>
          <t>PRI-07</t>
        </is>
      </c>
      <c r="B76" s="10" t="inlineStr">
        <is>
          <t>Coaching privé</t>
        </is>
      </c>
      <c r="C76" s="10" t="inlineStr">
        <is>
          <t>/formateurs</t>
        </is>
      </c>
      <c r="D76" s="10" t="inlineStr">
        <is>
          <t>Tarif</t>
        </is>
      </c>
      <c r="E76" s="10" t="inlineStr">
        <is>
          <t>50 000 FCFA de l'heure, réservé et payé séparément</t>
        </is>
      </c>
      <c r="F76" s="10" t="inlineStr">
        <is>
          <t>Modèle économique</t>
        </is>
      </c>
      <c r="G76" s="20" t="inlineStr">
        <is>
          <t>Développé</t>
        </is>
      </c>
      <c r="H76" s="9" t="inlineStr">
        <is>
          <t>Majeur</t>
        </is>
      </c>
      <c r="I76" s="9" t="n"/>
      <c r="J76" s="10" t="n"/>
    </row>
    <row r="77">
      <c r="A77" s="10" t="inlineStr">
        <is>
          <t>PRI-08</t>
        </is>
      </c>
      <c r="B77" s="10" t="inlineStr">
        <is>
          <t>Coaching privé</t>
        </is>
      </c>
      <c r="C77" s="10" t="inlineStr">
        <is>
          <t>Encaissement</t>
        </is>
      </c>
      <c r="D77" s="10" t="inlineStr">
        <is>
          <t>Paiement de la séance</t>
        </is>
      </c>
      <c r="E77" s="10" t="inlineStr">
        <is>
          <t>Encaissement FeexPay du coaching privé</t>
        </is>
      </c>
      <c r="F77" s="10" t="inlineStr">
        <is>
          <t>Modèle économique</t>
        </is>
      </c>
      <c r="G77" s="21" t="inlineStr">
        <is>
          <t>Non développé</t>
        </is>
      </c>
      <c r="H77" s="22" t="inlineStr">
        <is>
          <t>Bloquant</t>
        </is>
      </c>
      <c r="I77" s="9" t="n"/>
      <c r="J77" s="10" t="n"/>
    </row>
    <row r="78">
      <c r="A78" s="10" t="inlineStr">
        <is>
          <t>ATT-01</t>
        </is>
      </c>
      <c r="B78" s="10" t="inlineStr">
        <is>
          <t>Attestation</t>
        </is>
      </c>
      <c r="C78" s="10" t="inlineStr">
        <is>
          <t>POST /api/certificats</t>
        </is>
      </c>
      <c r="D78" s="10" t="inlineStr">
        <is>
          <t>Déclenchement</t>
        </is>
      </c>
      <c r="E78" s="10" t="inlineStr">
        <is>
          <t>Délivrance automatique à 100 % de progression du module</t>
        </is>
      </c>
      <c r="F78" s="10" t="inlineStr">
        <is>
          <t>E-mail de lancement §4</t>
        </is>
      </c>
      <c r="G78" s="20" t="inlineStr">
        <is>
          <t>Développé</t>
        </is>
      </c>
      <c r="H78" s="9" t="inlineStr">
        <is>
          <t>Majeur</t>
        </is>
      </c>
      <c r="I78" s="9" t="n"/>
      <c r="J78" s="10" t="n"/>
    </row>
    <row r="79">
      <c r="A79" s="10" t="inlineStr">
        <is>
          <t>ATT-02</t>
        </is>
      </c>
      <c r="B79" s="10" t="inlineStr">
        <is>
          <t>Attestation</t>
        </is>
      </c>
      <c r="C79" s="10" t="inlineStr">
        <is>
          <t>delivrer_certificat()</t>
        </is>
      </c>
      <c r="D79" s="10" t="inlineStr">
        <is>
          <t>Numérotation</t>
        </is>
      </c>
      <c r="E79" s="10" t="inlineStr">
        <is>
          <t>EMBF-&lt;CODE PROGRAMME&gt;-&lt;ANNÉE&gt;-&lt;SÉQUENCE&gt;, tirée d'une séquence, idempotente (ex. EMBF-ENT-2026-000128)</t>
        </is>
      </c>
      <c r="F79" s="10" t="inlineStr">
        <is>
          <t>E-mail de lancement §4</t>
        </is>
      </c>
      <c r="G79" s="20" t="inlineStr">
        <is>
          <t>Développé</t>
        </is>
      </c>
      <c r="H79" s="9" t="inlineStr">
        <is>
          <t>Majeur</t>
        </is>
      </c>
      <c r="I79" s="9" t="n"/>
      <c r="J79" s="10" t="n"/>
    </row>
    <row r="80">
      <c r="A80" s="10" t="inlineStr">
        <is>
          <t>ATT-03</t>
        </is>
      </c>
      <c r="B80" s="10" t="inlineStr">
        <is>
          <t>Attestation</t>
        </is>
      </c>
      <c r="C80" s="10" t="inlineStr">
        <is>
          <t>/certificats/[numero]</t>
        </is>
      </c>
      <c r="D80" s="10" t="inlineStr">
        <is>
          <t>Variables du squelette</t>
        </is>
      </c>
      <c r="E80" s="10" t="inlineStr">
        <is>
          <t>Prénom NOM, titre du module, programme, thématique, formateur, durée, date de réalisation, date de délivrance, numéro</t>
        </is>
      </c>
      <c r="F80" s="10" t="inlineStr">
        <is>
          <t>Squelette Google Docs</t>
        </is>
      </c>
      <c r="G80" s="20" t="inlineStr">
        <is>
          <t>Développé</t>
        </is>
      </c>
      <c r="H80" s="9" t="inlineStr">
        <is>
          <t>Majeur</t>
        </is>
      </c>
      <c r="I80" s="9" t="n"/>
      <c r="J80" s="10" t="n"/>
    </row>
    <row r="81">
      <c r="A81" s="10" t="inlineStr">
        <is>
          <t>ATT-04</t>
        </is>
      </c>
      <c r="B81" s="10" t="inlineStr">
        <is>
          <t>Attestation</t>
        </is>
      </c>
      <c r="C81" s="10" t="inlineStr">
        <is>
          <t>/certificats/[numero]</t>
        </is>
      </c>
      <c r="D81" s="10" t="inlineStr">
        <is>
          <t>Fidélité au visuel de référence</t>
        </is>
      </c>
      <c r="E81" s="10" t="inlineStr">
        <is>
          <t>Motif Big Five sur les 4 bords, carte blanche, nom en grandes capitales, module encadré, 4 repères à icônes</t>
        </is>
      </c>
      <c r="F81" s="10" t="inlineStr">
        <is>
          <t>modelAttestation.pdf</t>
        </is>
      </c>
      <c r="G81" s="20" t="inlineStr">
        <is>
          <t>Développé</t>
        </is>
      </c>
      <c r="H81" s="9" t="inlineStr">
        <is>
          <t>Majeur</t>
        </is>
      </c>
      <c r="I81" s="9" t="n"/>
      <c r="J81" s="10" t="n"/>
    </row>
    <row r="82">
      <c r="A82" s="10" t="inlineStr">
        <is>
          <t>ATT-05</t>
        </is>
      </c>
      <c r="B82" s="10" t="inlineStr">
        <is>
          <t>Attestation</t>
        </is>
      </c>
      <c r="C82" s="10" t="inlineStr">
        <is>
          <t>/certificats/[numero]</t>
        </is>
      </c>
      <c r="D82" s="10" t="inlineStr">
        <is>
          <t>Signature de la direction</t>
        </is>
      </c>
      <c r="E82" s="10" t="inlineStr">
        <is>
          <t>Griffe PNG à fond transparent affichée sous la ligne de signature — fichier non fourni à ce jour</t>
        </is>
      </c>
      <c r="F82" s="10" t="inlineStr">
        <is>
          <t>modelAttestation.pdf</t>
        </is>
      </c>
      <c r="G82" s="21" t="inlineStr">
        <is>
          <t>Bloqué — contenu client</t>
        </is>
      </c>
      <c r="H82" s="9" t="inlineStr">
        <is>
          <t>Majeur</t>
        </is>
      </c>
      <c r="I82" s="9" t="n"/>
      <c r="J82" s="10" t="n"/>
    </row>
    <row r="83">
      <c r="A83" s="10" t="inlineStr">
        <is>
          <t>ATT-06</t>
        </is>
      </c>
      <c r="B83" s="10" t="inlineStr">
        <is>
          <t>Attestation</t>
        </is>
      </c>
      <c r="C83" s="10" t="inlineStr">
        <is>
          <t>/certificats/[numero]</t>
        </is>
      </c>
      <c r="D83" s="10" t="inlineStr">
        <is>
          <t>QR code</t>
        </is>
      </c>
      <c r="E83" s="10" t="inlineStr">
        <is>
          <t>Généré côté serveur, pointe vers /verifier/&lt;numero&gt;</t>
        </is>
      </c>
      <c r="F83" s="10" t="inlineStr">
        <is>
          <t>E-mail de lancement §4</t>
        </is>
      </c>
      <c r="G83" s="20" t="inlineStr">
        <is>
          <t>Développé</t>
        </is>
      </c>
      <c r="H83" s="9" t="inlineStr">
        <is>
          <t>Majeur</t>
        </is>
      </c>
      <c r="I83" s="9" t="n"/>
      <c r="J83" s="10" t="n"/>
    </row>
    <row r="84">
      <c r="A84" s="10" t="inlineStr">
        <is>
          <t>ATT-07</t>
        </is>
      </c>
      <c r="B84" s="10" t="inlineStr">
        <is>
          <t>Attestation</t>
        </is>
      </c>
      <c r="C84" s="10" t="inlineStr">
        <is>
          <t>/verifier · /verifier/[numero]</t>
        </is>
      </c>
      <c r="D84" s="10" t="inlineStr">
        <is>
          <t>Vérification publique</t>
        </is>
      </c>
      <c r="E84" s="10" t="inlineStr">
        <is>
          <t>Saisie manuelle d'un numéro et page de contrôle accessibles sans compte</t>
        </is>
      </c>
      <c r="F84" s="10" t="inlineStr">
        <is>
          <t>Planche A</t>
        </is>
      </c>
      <c r="G84" s="20" t="inlineStr">
        <is>
          <t>Développé</t>
        </is>
      </c>
      <c r="H84" s="9" t="inlineStr">
        <is>
          <t>Majeur</t>
        </is>
      </c>
      <c r="I84" s="9" t="n"/>
      <c r="J84" s="10" t="n"/>
    </row>
    <row r="85">
      <c r="A85" s="10" t="inlineStr">
        <is>
          <t>ATT-08</t>
        </is>
      </c>
      <c r="B85" s="10" t="inlineStr">
        <is>
          <t>Attestation</t>
        </is>
      </c>
      <c r="C85" s="10" t="inlineStr">
        <is>
          <t>/certificats/[numero]</t>
        </is>
      </c>
      <c r="D85" s="10" t="inlineStr">
        <is>
          <t>Export PDF</t>
        </is>
      </c>
      <c r="E85" s="10" t="inlineStr">
        <is>
          <t>Impression navigateur, feuille dédiée, A4 paysage</t>
        </is>
      </c>
      <c r="F85" s="10" t="inlineStr">
        <is>
          <t>E-mail de lancement §4</t>
        </is>
      </c>
      <c r="G85" s="20" t="inlineStr">
        <is>
          <t>Développé</t>
        </is>
      </c>
      <c r="H85" s="9" t="inlineStr">
        <is>
          <t>Majeur</t>
        </is>
      </c>
      <c r="I85" s="9" t="n"/>
      <c r="J85" s="10" t="n"/>
    </row>
    <row r="86">
      <c r="A86" s="10" t="inlineStr">
        <is>
          <t>ATT-09</t>
        </is>
      </c>
      <c r="B86" s="10" t="inlineStr">
        <is>
          <t>Attestation</t>
        </is>
      </c>
      <c r="C86" s="10" t="inlineStr">
        <is>
          <t>Notifications</t>
        </is>
      </c>
      <c r="D86" s="10" t="inlineStr">
        <is>
          <t>Envoi de l'attestation</t>
        </is>
      </c>
      <c r="E86" s="10" t="inlineStr">
        <is>
          <t>L'apprenant reçoit son attestation par e-mail à la délivrance</t>
        </is>
      </c>
      <c r="F86" s="10" t="inlineStr">
        <is>
          <t>Planche E</t>
        </is>
      </c>
      <c r="G86" s="21" t="inlineStr">
        <is>
          <t>Bloqué — prestataire</t>
        </is>
      </c>
      <c r="H86" s="9" t="inlineStr">
        <is>
          <t>Majeur</t>
        </is>
      </c>
      <c r="I86" s="9" t="n"/>
      <c r="J86" s="10" t="n"/>
    </row>
    <row r="87">
      <c r="A87" s="10" t="inlineStr">
        <is>
          <t>FOR-01</t>
        </is>
      </c>
      <c r="B87" s="10" t="inlineStr">
        <is>
          <t>Espace formateur</t>
        </is>
      </c>
      <c r="C87" s="10" t="inlineStr">
        <is>
          <t>/formateur</t>
        </is>
      </c>
      <c r="D87" s="10" t="inlineStr">
        <is>
          <t>Tableau de bord</t>
        </is>
      </c>
      <c r="E87" s="10" t="inlineStr">
        <is>
          <t>Modules animés, prochaines séances, note moyenne, revenus du mois</t>
        </is>
      </c>
      <c r="F87" s="10" t="inlineStr">
        <is>
          <t>Planche D</t>
        </is>
      </c>
      <c r="G87" s="20" t="inlineStr">
        <is>
          <t>Développé</t>
        </is>
      </c>
      <c r="H87" s="9" t="inlineStr">
        <is>
          <t>Majeur</t>
        </is>
      </c>
      <c r="I87" s="9" t="n"/>
      <c r="J87" s="10" t="n"/>
    </row>
    <row r="88">
      <c r="A88" s="10" t="inlineStr">
        <is>
          <t>FOR-02</t>
        </is>
      </c>
      <c r="B88" s="10" t="inlineStr">
        <is>
          <t>Espace formateur</t>
        </is>
      </c>
      <c r="C88" s="10" t="inlineStr">
        <is>
          <t>/formateur/modules</t>
        </is>
      </c>
      <c r="D88" s="10" t="inlineStr">
        <is>
          <t>Mes modules</t>
        </is>
      </c>
      <c r="E88" s="10" t="inlineStr">
        <is>
          <t>Modules dont le formateur est titulaire, avec leurs statistiques</t>
        </is>
      </c>
      <c r="F88" s="10" t="inlineStr">
        <is>
          <t>Planche D</t>
        </is>
      </c>
      <c r="G88" s="20" t="inlineStr">
        <is>
          <t>Développé</t>
        </is>
      </c>
      <c r="H88" s="9" t="inlineStr">
        <is>
          <t>Majeur</t>
        </is>
      </c>
      <c r="I88" s="9" t="n"/>
      <c r="J88" s="10" t="n"/>
    </row>
    <row r="89">
      <c r="A89" s="10" t="inlineStr">
        <is>
          <t>FOR-03</t>
        </is>
      </c>
      <c r="B89" s="10" t="inlineStr">
        <is>
          <t>Espace formateur</t>
        </is>
      </c>
      <c r="C89" s="10" t="inlineStr">
        <is>
          <t>/formateur/sessions</t>
        </is>
      </c>
      <c r="D89" s="10" t="inlineStr">
        <is>
          <t>Mes sessions</t>
        </is>
      </c>
      <c r="E89" s="10" t="inlineStr">
        <is>
          <t>Calendrier, inscrits, réponses obligatoires reçues avant la séance</t>
        </is>
      </c>
      <c r="F89" s="10" t="inlineStr">
        <is>
          <t>Planche D</t>
        </is>
      </c>
      <c r="G89" s="20" t="inlineStr">
        <is>
          <t>Développé</t>
        </is>
      </c>
      <c r="H89" s="9" t="inlineStr">
        <is>
          <t>Majeur</t>
        </is>
      </c>
      <c r="I89" s="9" t="n"/>
      <c r="J89" s="10" t="n"/>
    </row>
    <row r="90">
      <c r="A90" s="10" t="inlineStr">
        <is>
          <t>FOR-04</t>
        </is>
      </c>
      <c r="B90" s="10" t="inlineStr">
        <is>
          <t>Espace formateur</t>
        </is>
      </c>
      <c r="C90" s="10" t="inlineStr">
        <is>
          <t>/formateur/revenus</t>
        </is>
      </c>
      <c r="D90" s="10" t="inlineStr">
        <is>
          <t>Calcul des revenus</t>
        </is>
      </c>
      <c r="E90" s="10" t="inlineStr">
        <is>
          <t>CA − 4 % de frais FeexPay = marge brute ; 30 % formateur, 70 % Big Five</t>
        </is>
      </c>
      <c r="F90" s="10" t="inlineStr">
        <is>
          <t>Modèle économique</t>
        </is>
      </c>
      <c r="G90" s="20" t="inlineStr">
        <is>
          <t>Développé</t>
        </is>
      </c>
      <c r="H90" s="9" t="inlineStr">
        <is>
          <t>Majeur</t>
        </is>
      </c>
      <c r="I90" s="9" t="n"/>
      <c r="J90" s="10" t="n"/>
    </row>
    <row r="91">
      <c r="A91" s="10" t="inlineStr">
        <is>
          <t>FOR-05</t>
        </is>
      </c>
      <c r="B91" s="10" t="inlineStr">
        <is>
          <t>Espace formateur</t>
        </is>
      </c>
      <c r="C91" s="10" t="inlineStr">
        <is>
          <t>/formateur/revenus</t>
        </is>
      </c>
      <c r="D91" s="10" t="inlineStr">
        <is>
          <t>Relevé PDF</t>
        </is>
      </c>
      <c r="E91" s="10" t="inlineStr">
        <is>
          <t>Export du relevé de revenus téléchargeable</t>
        </is>
      </c>
      <c r="F91" s="10" t="inlineStr">
        <is>
          <t>Planche D</t>
        </is>
      </c>
      <c r="G91" s="21" t="inlineStr">
        <is>
          <t>Non développé</t>
        </is>
      </c>
      <c r="H91" s="9" t="inlineStr">
        <is>
          <t>Mineur</t>
        </is>
      </c>
      <c r="I91" s="9" t="n"/>
      <c r="J91" s="10" t="n"/>
    </row>
    <row r="92">
      <c r="A92" s="10" t="inlineStr">
        <is>
          <t>FOR-06</t>
        </is>
      </c>
      <c r="B92" s="10" t="inlineStr">
        <is>
          <t>Espace formateur</t>
        </is>
      </c>
      <c r="C92" s="10" t="inlineStr">
        <is>
          <t>/formateur/profil</t>
        </is>
      </c>
      <c r="D92" s="10" t="inlineStr">
        <is>
          <t>Profil public</t>
        </is>
      </c>
      <c r="E92" s="10" t="inlineStr">
        <is>
          <t>Le formateur met à jour sa fiche, l'administration valide</t>
        </is>
      </c>
      <c r="F92" s="10" t="inlineStr">
        <is>
          <t>Planche D</t>
        </is>
      </c>
      <c r="G92" s="20" t="inlineStr">
        <is>
          <t>Développé</t>
        </is>
      </c>
      <c r="H92" s="9" t="inlineStr">
        <is>
          <t>Mineur</t>
        </is>
      </c>
      <c r="I92" s="9" t="n"/>
      <c r="J92" s="10" t="n"/>
    </row>
    <row r="93">
      <c r="A93" s="10" t="inlineStr">
        <is>
          <t>FOR-07</t>
        </is>
      </c>
      <c r="B93" s="10" t="inlineStr">
        <is>
          <t>Espace formateur</t>
        </is>
      </c>
      <c r="C93" s="10" t="inlineStr">
        <is>
          <t>/formateur</t>
        </is>
      </c>
      <c r="D93" s="10" t="inlineStr">
        <is>
          <t>Note moyenne</t>
        </is>
      </c>
      <c r="E93" s="10" t="inlineStr">
        <is>
          <t>Calculée sur les notations réelles des séances, pas sur une valeur figée</t>
        </is>
      </c>
      <c r="F93" s="10" t="inlineStr">
        <is>
          <t>Planche D</t>
        </is>
      </c>
      <c r="G93" s="20" t="inlineStr">
        <is>
          <t>Développé</t>
        </is>
      </c>
      <c r="H93" s="9" t="inlineStr">
        <is>
          <t>Mineur</t>
        </is>
      </c>
      <c r="I93" s="9" t="n"/>
      <c r="J93" s="10" t="n"/>
    </row>
    <row r="94">
      <c r="A94" s="10" t="inlineStr">
        <is>
          <t>FOR-08</t>
        </is>
      </c>
      <c r="B94" s="10" t="inlineStr">
        <is>
          <t>Espace formateur</t>
        </is>
      </c>
      <c r="C94" s="10" t="inlineStr">
        <is>
          <t>/formateur/sessions</t>
        </is>
      </c>
      <c r="D94" s="10" t="inlineStr">
        <is>
          <t>Taux de présence</t>
        </is>
      </c>
      <c r="E94" s="10" t="inlineStr">
        <is>
          <t>Alimenté par le relevé de présence de l'administration</t>
        </is>
      </c>
      <c r="F94" s="10" t="inlineStr">
        <is>
          <t>Planche D</t>
        </is>
      </c>
      <c r="G94" s="20" t="inlineStr">
        <is>
          <t>Développé</t>
        </is>
      </c>
      <c r="H94" s="9" t="inlineStr">
        <is>
          <t>Mineur</t>
        </is>
      </c>
      <c r="I94" s="9" t="n"/>
      <c r="J94" s="10" t="n"/>
    </row>
    <row r="95">
      <c r="A95" s="10" t="inlineStr">
        <is>
          <t>ADM-01</t>
        </is>
      </c>
      <c r="B95" s="10" t="inlineStr">
        <is>
          <t>Back-office</t>
        </is>
      </c>
      <c r="C95" s="10" t="inlineStr">
        <is>
          <t>/admin/login</t>
        </is>
      </c>
      <c r="D95" s="10" t="inlineStr">
        <is>
          <t>Connexion en deux temps</t>
        </is>
      </c>
      <c r="E95" s="10" t="inlineStr">
        <is>
          <t>Mot de passe, puis code à 6 chiffres valable 10 minutes, renvoi limité à un par minute</t>
        </is>
      </c>
      <c r="F95" s="10" t="inlineStr">
        <is>
          <t>Planche C</t>
        </is>
      </c>
      <c r="G95" s="20" t="inlineStr">
        <is>
          <t>Développé</t>
        </is>
      </c>
      <c r="H95" s="22" t="inlineStr">
        <is>
          <t>Bloquant</t>
        </is>
      </c>
      <c r="I95" s="9" t="n"/>
      <c r="J95" s="10" t="n"/>
    </row>
    <row r="96">
      <c r="A96" s="10" t="inlineStr">
        <is>
          <t>ADM-02</t>
        </is>
      </c>
      <c r="B96" s="10" t="inlineStr">
        <is>
          <t>Back-office</t>
        </is>
      </c>
      <c r="C96" s="10" t="inlineStr">
        <is>
          <t>/admin/login</t>
        </is>
      </c>
      <c r="D96" s="10" t="inlineStr">
        <is>
          <t>Acheminement du code</t>
        </is>
      </c>
      <c r="E96" s="10" t="inlineStr">
        <is>
          <t>Le code arrive par e-mail (Supabase Auth) et non dans la sortie du serveur</t>
        </is>
      </c>
      <c r="F96" s="10" t="inlineStr">
        <is>
          <t>Planche C</t>
        </is>
      </c>
      <c r="G96" s="21" t="inlineStr">
        <is>
          <t>Bloqué — prestataire</t>
        </is>
      </c>
      <c r="H96" s="22" t="inlineStr">
        <is>
          <t>Bloquant</t>
        </is>
      </c>
      <c r="I96" s="9" t="n"/>
      <c r="J96" s="10" t="n"/>
    </row>
    <row r="97">
      <c r="A97" s="10" t="inlineStr">
        <is>
          <t>ADM-03</t>
        </is>
      </c>
      <c r="B97" s="10" t="inlineStr">
        <is>
          <t>Back-office</t>
        </is>
      </c>
      <c r="C97" s="10" t="inlineStr">
        <is>
          <t>/admin</t>
        </is>
      </c>
      <c r="D97" s="10" t="inlineStr">
        <is>
          <t>Vue d'ensemble</t>
        </is>
      </c>
      <c r="E97" s="10" t="inlineStr">
        <is>
          <t>Indicateurs de la période, alertes, raccourcis</t>
        </is>
      </c>
      <c r="F97" s="10" t="inlineStr">
        <is>
          <t>Planche C — écran 01</t>
        </is>
      </c>
      <c r="G97" s="20" t="inlineStr">
        <is>
          <t>Développé</t>
        </is>
      </c>
      <c r="H97" s="9" t="inlineStr">
        <is>
          <t>Majeur</t>
        </is>
      </c>
      <c r="I97" s="9" t="n"/>
      <c r="J97" s="10" t="n"/>
    </row>
    <row r="98">
      <c r="A98" s="10" t="inlineStr">
        <is>
          <t>ADM-04</t>
        </is>
      </c>
      <c r="B98" s="10" t="inlineStr">
        <is>
          <t>Back-office</t>
        </is>
      </c>
      <c r="C98" s="10" t="inlineStr">
        <is>
          <t>/admin/contenus</t>
        </is>
      </c>
      <c r="D98" s="10" t="inlineStr">
        <is>
          <t>Arbre des contenus</t>
        </is>
      </c>
      <c r="E98" s="10" t="inlineStr">
        <is>
          <t>Programme → thématique → module ; publier un parent ne publie jamais ses enfants</t>
        </is>
      </c>
      <c r="F98" s="10" t="inlineStr">
        <is>
          <t>Planche C</t>
        </is>
      </c>
      <c r="G98" s="20" t="inlineStr">
        <is>
          <t>Développé</t>
        </is>
      </c>
      <c r="H98" s="9" t="inlineStr">
        <is>
          <t>Majeur</t>
        </is>
      </c>
      <c r="I98" s="9" t="n"/>
      <c r="J98" s="10" t="n"/>
    </row>
    <row r="99">
      <c r="A99" s="10" t="inlineStr">
        <is>
          <t>ADM-05</t>
        </is>
      </c>
      <c r="B99" s="10" t="inlineStr">
        <is>
          <t>Back-office</t>
        </is>
      </c>
      <c r="C99" s="10" t="inlineStr">
        <is>
          <t>/admin/contenus</t>
        </is>
      </c>
      <c r="D99" s="10" t="inlineStr">
        <is>
          <t>Réordonnancement</t>
        </is>
      </c>
      <c r="E99" s="10" t="inlineStr">
        <is>
          <t>Glisser-déposer pour réordonner les contenus</t>
        </is>
      </c>
      <c r="F99" s="10" t="inlineStr">
        <is>
          <t>Planche C</t>
        </is>
      </c>
      <c r="G99" s="21" t="inlineStr">
        <is>
          <t>Non développé</t>
        </is>
      </c>
      <c r="H99" s="9" t="inlineStr">
        <is>
          <t>Mineur</t>
        </is>
      </c>
      <c r="I99" s="9" t="n"/>
      <c r="J99" s="10" t="n"/>
    </row>
    <row r="100">
      <c r="A100" s="10" t="inlineStr">
        <is>
          <t>ADM-06</t>
        </is>
      </c>
      <c r="B100" s="10" t="inlineStr">
        <is>
          <t>Back-office</t>
        </is>
      </c>
      <c r="C100" s="10" t="inlineStr">
        <is>
          <t>/admin/module/[id]</t>
        </is>
      </c>
      <c r="D100" s="10" t="inlineStr">
        <is>
          <t>Éditeur de module</t>
        </is>
      </c>
      <c r="E100" s="10" t="inlineStr">
        <is>
          <t>Onglets Informations, Chapitres, Ressources, Offre, Référencement et partage, Historique</t>
        </is>
      </c>
      <c r="F100" s="10" t="inlineStr">
        <is>
          <t>Planche E — parcours 04</t>
        </is>
      </c>
      <c r="G100" s="20" t="inlineStr">
        <is>
          <t>Développé</t>
        </is>
      </c>
      <c r="H100" s="9" t="inlineStr">
        <is>
          <t>Majeur</t>
        </is>
      </c>
      <c r="I100" s="9" t="n"/>
      <c r="J100" s="10" t="n"/>
    </row>
    <row r="101">
      <c r="A101" s="10" t="inlineStr">
        <is>
          <t>ADM-07</t>
        </is>
      </c>
      <c r="B101" s="10" t="inlineStr">
        <is>
          <t>Back-office</t>
        </is>
      </c>
      <c r="C101" s="10" t="inlineStr">
        <is>
          <t>/admin/module/[id]</t>
        </is>
      </c>
      <c r="D101" s="10" t="inlineStr">
        <is>
          <t>Garde-fou de l'offre</t>
        </is>
      </c>
      <c r="E101" s="10" t="inlineStr">
        <is>
          <t>L'offre ne s'ouvre pas sans promesse, sans « pourquoi » et sans au moins un chapitre</t>
        </is>
      </c>
      <c r="F101" s="10" t="inlineStr">
        <is>
          <t>Planche C</t>
        </is>
      </c>
      <c r="G101" s="20" t="inlineStr">
        <is>
          <t>Développé</t>
        </is>
      </c>
      <c r="H101" s="9" t="inlineStr">
        <is>
          <t>Majeur</t>
        </is>
      </c>
      <c r="I101" s="9" t="n"/>
      <c r="J101" s="10" t="n"/>
    </row>
    <row r="102">
      <c r="A102" s="10" t="inlineStr">
        <is>
          <t>ADM-08</t>
        </is>
      </c>
      <c r="B102" s="10" t="inlineStr">
        <is>
          <t>Back-office</t>
        </is>
      </c>
      <c r="C102" s="10" t="inlineStr">
        <is>
          <t>/admin/article/[id]</t>
        </is>
      </c>
      <c r="D102" s="10" t="inlineStr">
        <is>
          <t>Éditeur d'article</t>
        </is>
      </c>
      <c r="E102" s="10" t="inlineStr">
        <is>
          <t>Rédaction, illustration, panneau de référencement et partage, publication</t>
        </is>
      </c>
      <c r="F102" s="10" t="inlineStr">
        <is>
          <t>Planche E — parcours 05</t>
        </is>
      </c>
      <c r="G102" s="20" t="inlineStr">
        <is>
          <t>Développé</t>
        </is>
      </c>
      <c r="H102" s="9" t="inlineStr">
        <is>
          <t>Majeur</t>
        </is>
      </c>
      <c r="I102" s="9" t="n"/>
      <c r="J102" s="10" t="n"/>
    </row>
    <row r="103">
      <c r="A103" s="10" t="inlineStr">
        <is>
          <t>ADM-09</t>
        </is>
      </c>
      <c r="B103" s="10" t="inlineStr">
        <is>
          <t>Back-office</t>
        </is>
      </c>
      <c r="C103" s="10" t="inlineStr">
        <is>
          <t>/admin/blog</t>
        </is>
      </c>
      <c r="D103" s="10" t="inlineStr">
        <is>
          <t>Gestion du blog</t>
        </is>
      </c>
      <c r="E103" s="10" t="inlineStr">
        <is>
          <t>Liste, statuts, création et dépublication d'un article</t>
        </is>
      </c>
      <c r="F103" s="10" t="inlineStr">
        <is>
          <t>E-mail de lancement §5</t>
        </is>
      </c>
      <c r="G103" s="20" t="inlineStr">
        <is>
          <t>Développé</t>
        </is>
      </c>
      <c r="H103" s="9" t="inlineStr">
        <is>
          <t>Majeur</t>
        </is>
      </c>
      <c r="I103" s="9" t="n"/>
      <c r="J103" s="10" t="n"/>
    </row>
    <row r="104">
      <c r="A104" s="10" t="inlineStr">
        <is>
          <t>ADM-10</t>
        </is>
      </c>
      <c r="B104" s="10" t="inlineStr">
        <is>
          <t>Back-office</t>
        </is>
      </c>
      <c r="C104" s="10" t="inlineStr">
        <is>
          <t>/admin/cms</t>
        </is>
      </c>
      <c r="D104" s="10" t="inlineStr">
        <is>
          <t>CMS du site vitrine</t>
        </is>
      </c>
      <c r="E104" s="10" t="inlineStr">
        <is>
          <t>Blocs éditoriaux de l'accueil et témoignages modifiables sans développeur</t>
        </is>
      </c>
      <c r="F104" s="10" t="inlineStr">
        <is>
          <t>Planche C</t>
        </is>
      </c>
      <c r="G104" s="20" t="inlineStr">
        <is>
          <t>Développé</t>
        </is>
      </c>
      <c r="H104" s="9" t="inlineStr">
        <is>
          <t>Majeur</t>
        </is>
      </c>
      <c r="I104" s="9" t="n"/>
      <c r="J104" s="10" t="n"/>
    </row>
    <row r="105">
      <c r="A105" s="10" t="inlineStr">
        <is>
          <t>ADM-11</t>
        </is>
      </c>
      <c r="B105" s="10" t="inlineStr">
        <is>
          <t>Back-office</t>
        </is>
      </c>
      <c r="C105" s="10" t="inlineStr">
        <is>
          <t>/admin/sessions</t>
        </is>
      </c>
      <c r="D105" s="10" t="inlineStr">
        <is>
          <t>Calendrier des sessions</t>
        </is>
      </c>
      <c r="E105" s="10" t="inlineStr">
        <is>
          <t>Création, report, annulation notifiée, relevé de présence</t>
        </is>
      </c>
      <c r="F105" s="10" t="inlineStr">
        <is>
          <t>Planche C</t>
        </is>
      </c>
      <c r="G105" s="20" t="inlineStr">
        <is>
          <t>Développé</t>
        </is>
      </c>
      <c r="H105" s="9" t="inlineStr">
        <is>
          <t>Majeur</t>
        </is>
      </c>
      <c r="I105" s="9" t="n"/>
      <c r="J105" s="10" t="n"/>
    </row>
    <row r="106">
      <c r="A106" s="10" t="inlineStr">
        <is>
          <t>ADM-12</t>
        </is>
      </c>
      <c r="B106" s="10" t="inlineStr">
        <is>
          <t>Back-office</t>
        </is>
      </c>
      <c r="C106" s="10" t="inlineStr">
        <is>
          <t>/admin/apprenants</t>
        </is>
      </c>
      <c r="D106" s="10" t="inlineStr">
        <is>
          <t>Fiche apprenante</t>
        </is>
      </c>
      <c r="E106" s="10" t="inlineStr">
        <is>
          <t>Liste, persona, historique d'achats, attestations</t>
        </is>
      </c>
      <c r="F106" s="10" t="inlineStr">
        <is>
          <t>Planche C</t>
        </is>
      </c>
      <c r="G106" s="20" t="inlineStr">
        <is>
          <t>Développé</t>
        </is>
      </c>
      <c r="H106" s="9" t="inlineStr">
        <is>
          <t>Majeur</t>
        </is>
      </c>
      <c r="I106" s="9" t="n"/>
      <c r="J106" s="10" t="n"/>
    </row>
    <row r="107">
      <c r="A107" s="10" t="inlineStr">
        <is>
          <t>ADM-13</t>
        </is>
      </c>
      <c r="B107" s="10" t="inlineStr">
        <is>
          <t>Back-office</t>
        </is>
      </c>
      <c r="C107" s="10" t="inlineStr">
        <is>
          <t>/admin/apprenants</t>
        </is>
      </c>
      <c r="D107" s="10" t="inlineStr">
        <is>
          <t>Attribution d'accès</t>
        </is>
      </c>
      <c r="E107" s="10" t="inlineStr">
        <is>
          <t>Motif obligatoire, marquée « Attribution admin », apprenant notifié, action journalisée</t>
        </is>
      </c>
      <c r="F107" s="10" t="inlineStr">
        <is>
          <t>Planche C</t>
        </is>
      </c>
      <c r="G107" s="20" t="inlineStr">
        <is>
          <t>Développé</t>
        </is>
      </c>
      <c r="H107" s="9" t="inlineStr">
        <is>
          <t>Majeur</t>
        </is>
      </c>
      <c r="I107" s="9" t="n"/>
      <c r="J107" s="10" t="n"/>
    </row>
    <row r="108">
      <c r="A108" s="10" t="inlineStr">
        <is>
          <t>ADM-14</t>
        </is>
      </c>
      <c r="B108" s="10" t="inlineStr">
        <is>
          <t>Back-office</t>
        </is>
      </c>
      <c r="C108" s="10" t="inlineStr">
        <is>
          <t>/admin/apprenants</t>
        </is>
      </c>
      <c r="D108" s="10" t="inlineStr">
        <is>
          <t>Export de la liste</t>
        </is>
      </c>
      <c r="E108" s="10" t="inlineStr">
        <is>
          <t>Export de la liste des apprenants</t>
        </is>
      </c>
      <c r="F108" s="10" t="inlineStr">
        <is>
          <t>Planche C</t>
        </is>
      </c>
      <c r="G108" s="21" t="inlineStr">
        <is>
          <t>Non développé</t>
        </is>
      </c>
      <c r="H108" s="9" t="inlineStr">
        <is>
          <t>Mineur</t>
        </is>
      </c>
      <c r="I108" s="9" t="n"/>
      <c r="J108" s="10" t="n"/>
    </row>
    <row r="109">
      <c r="A109" s="10" t="inlineStr">
        <is>
          <t>ADM-15</t>
        </is>
      </c>
      <c r="B109" s="10" t="inlineStr">
        <is>
          <t>Back-office</t>
        </is>
      </c>
      <c r="C109" s="10" t="inlineStr">
        <is>
          <t>/admin/coaching-prive</t>
        </is>
      </c>
      <c r="D109" s="10" t="inlineStr">
        <is>
          <t>Demandes et statistiques</t>
        </is>
      </c>
      <c r="E109" s="10" t="inlineStr">
        <is>
          <t>File des demandes, actions de traitement, statistiques de conversion</t>
        </is>
      </c>
      <c r="F109" s="10" t="inlineStr">
        <is>
          <t>Planche E — parcours 03</t>
        </is>
      </c>
      <c r="G109" s="20" t="inlineStr">
        <is>
          <t>Développé</t>
        </is>
      </c>
      <c r="H109" s="9" t="inlineStr">
        <is>
          <t>Majeur</t>
        </is>
      </c>
      <c r="I109" s="9" t="n"/>
      <c r="J109" s="10" t="n"/>
    </row>
    <row r="110">
      <c r="A110" s="10" t="inlineStr">
        <is>
          <t>ADM-16</t>
        </is>
      </c>
      <c r="B110" s="10" t="inlineStr">
        <is>
          <t>Back-office</t>
        </is>
      </c>
      <c r="C110" s="10" t="inlineStr">
        <is>
          <t>/admin/formateurs</t>
        </is>
      </c>
      <c r="D110" s="10" t="inlineStr">
        <is>
          <t>Formateurs et candidatures</t>
        </is>
      </c>
      <c r="E110" s="10" t="inlineStr">
        <is>
          <t>Profils, bascule coaching privé, candidature → création du compte (lien 72 h ou mot de passe temporaire)</t>
        </is>
      </c>
      <c r="F110" s="10" t="inlineStr">
        <is>
          <t>Planche E — parcours 06</t>
        </is>
      </c>
      <c r="G110" s="20" t="inlineStr">
        <is>
          <t>Développé</t>
        </is>
      </c>
      <c r="H110" s="9" t="inlineStr">
        <is>
          <t>Majeur</t>
        </is>
      </c>
      <c r="I110" s="9" t="n"/>
      <c r="J110" s="10" t="n"/>
    </row>
    <row r="111">
      <c r="A111" s="10" t="inlineStr">
        <is>
          <t>ADM-17</t>
        </is>
      </c>
      <c r="B111" s="10" t="inlineStr">
        <is>
          <t>Back-office</t>
        </is>
      </c>
      <c r="C111" s="10" t="inlineStr">
        <is>
          <t>/admin/performances</t>
        </is>
      </c>
      <c r="D111" s="10" t="inlineStr">
        <is>
          <t>Indicateurs d'audience</t>
        </is>
      </c>
      <c r="E111" s="10" t="inlineStr">
        <is>
          <t>Six indicateurs affichent « — » tant que GA4 n'est pas branché, sans chiffre inventé</t>
        </is>
      </c>
      <c r="F111" s="10" t="inlineStr">
        <is>
          <t>Planche C</t>
        </is>
      </c>
      <c r="G111" s="23" t="inlineStr">
        <is>
          <t>Partiel</t>
        </is>
      </c>
      <c r="H111" s="9" t="inlineStr">
        <is>
          <t>Majeur</t>
        </is>
      </c>
      <c r="I111" s="9" t="n"/>
      <c r="J111" s="10" t="n"/>
    </row>
    <row r="112">
      <c r="A112" s="10" t="inlineStr">
        <is>
          <t>ADM-18</t>
        </is>
      </c>
      <c r="B112" s="10" t="inlineStr">
        <is>
          <t>Back-office</t>
        </is>
      </c>
      <c r="C112" s="10" t="inlineStr">
        <is>
          <t>/admin/performances</t>
        </is>
      </c>
      <c r="D112" s="10" t="inlineStr">
        <is>
          <t>Onglets Funnel, Ventes, Visites, Clients</t>
        </is>
      </c>
      <c r="E112" s="10" t="inlineStr">
        <is>
          <t>Détail par onglet une fois Google Tag Manager connecté</t>
        </is>
      </c>
      <c r="F112" s="10" t="inlineStr">
        <is>
          <t>Planche C</t>
        </is>
      </c>
      <c r="G112" s="23" t="inlineStr">
        <is>
          <t>Partiel</t>
        </is>
      </c>
      <c r="H112" s="9" t="inlineStr">
        <is>
          <t>Majeur</t>
        </is>
      </c>
      <c r="I112" s="9" t="n"/>
      <c r="J112" s="10" t="n"/>
    </row>
    <row r="113">
      <c r="A113" s="10" t="inlineStr">
        <is>
          <t>ADM-19</t>
        </is>
      </c>
      <c r="B113" s="10" t="inlineStr">
        <is>
          <t>Back-office</t>
        </is>
      </c>
      <c r="C113" s="10" t="inlineStr">
        <is>
          <t>/admin/revenus</t>
        </is>
      </c>
      <c r="D113" s="10" t="inlineStr">
        <is>
          <t>Revenus</t>
        </is>
      </c>
      <c r="E113" s="10" t="inlineStr">
        <is>
          <t>CA, frais, répartition Big Five / formateurs sur la période</t>
        </is>
      </c>
      <c r="F113" s="10" t="inlineStr">
        <is>
          <t>Planche C</t>
        </is>
      </c>
      <c r="G113" s="20" t="inlineStr">
        <is>
          <t>Développé</t>
        </is>
      </c>
      <c r="H113" s="9" t="inlineStr">
        <is>
          <t>Majeur</t>
        </is>
      </c>
      <c r="I113" s="9" t="n"/>
      <c r="J113" s="10" t="n"/>
    </row>
    <row r="114">
      <c r="A114" s="10" t="inlineStr">
        <is>
          <t>ADM-20</t>
        </is>
      </c>
      <c r="B114" s="10" t="inlineStr">
        <is>
          <t>Back-office</t>
        </is>
      </c>
      <c r="C114" s="10" t="inlineStr">
        <is>
          <t>/admin/transactions</t>
        </is>
      </c>
      <c r="D114" s="10" t="inlineStr">
        <is>
          <t>Transactions</t>
        </is>
      </c>
      <c r="E114" s="10" t="inlineStr">
        <is>
          <t>Réservé à l'administrateur supérieur : l'API répond 403 aux autres et l'écran affiche le bloc verrouillé</t>
        </is>
      </c>
      <c r="F114" s="10" t="inlineStr">
        <is>
          <t>Planche C — écran 18f</t>
        </is>
      </c>
      <c r="G114" s="20" t="inlineStr">
        <is>
          <t>Développé</t>
        </is>
      </c>
      <c r="H114" s="9" t="inlineStr">
        <is>
          <t>Majeur</t>
        </is>
      </c>
      <c r="I114" s="9" t="n"/>
      <c r="J114" s="10" t="n"/>
    </row>
    <row r="115">
      <c r="A115" s="10" t="inlineStr">
        <is>
          <t>ADM-21</t>
        </is>
      </c>
      <c r="B115" s="10" t="inlineStr">
        <is>
          <t>Back-office</t>
        </is>
      </c>
      <c r="C115" s="10" t="inlineStr">
        <is>
          <t>/admin/tracking</t>
        </is>
      </c>
      <c r="D115" s="10" t="inlineStr">
        <is>
          <t>Tracking et pixels</t>
        </is>
      </c>
      <c r="E115" s="10" t="inlineStr">
        <is>
          <t>Verrouillé par défaut, déverrouillage par ressaisie du mot de passe, chaque changement journalisé avec son ancienne valeur — jamais les secrets</t>
        </is>
      </c>
      <c r="F115" s="10" t="inlineStr">
        <is>
          <t>Planche C</t>
        </is>
      </c>
      <c r="G115" s="20" t="inlineStr">
        <is>
          <t>Développé</t>
        </is>
      </c>
      <c r="H115" s="9" t="inlineStr">
        <is>
          <t>Majeur</t>
        </is>
      </c>
      <c r="I115" s="9" t="n"/>
      <c r="J115" s="10" t="n"/>
    </row>
    <row r="116">
      <c r="A116" s="10" t="inlineStr">
        <is>
          <t>ADM-22</t>
        </is>
      </c>
      <c r="B116" s="10" t="inlineStr">
        <is>
          <t>Back-office</t>
        </is>
      </c>
      <c r="C116" s="10" t="inlineStr">
        <is>
          <t>/admin/acces</t>
        </is>
      </c>
      <c r="D116" s="10" t="inlineStr">
        <is>
          <t>Droits par section</t>
        </is>
      </c>
      <c r="E116" s="10" t="inlineStr">
        <is>
          <t>17 sections attribuables une à une ; une section non cochée est masquée dans la navigation et l'API répond 403</t>
        </is>
      </c>
      <c r="F116" s="10" t="inlineStr">
        <is>
          <t>Planche C</t>
        </is>
      </c>
      <c r="G116" s="20" t="inlineStr">
        <is>
          <t>Développé</t>
        </is>
      </c>
      <c r="H116" s="22" t="inlineStr">
        <is>
          <t>Bloquant</t>
        </is>
      </c>
      <c r="I116" s="9" t="n"/>
      <c r="J116" s="10" t="n"/>
    </row>
    <row r="117">
      <c r="A117" s="10" t="inlineStr">
        <is>
          <t>ADM-23</t>
        </is>
      </c>
      <c r="B117" s="10" t="inlineStr">
        <is>
          <t>Back-office</t>
        </is>
      </c>
      <c r="C117" s="10" t="inlineStr">
        <is>
          <t>/admin/acces</t>
        </is>
      </c>
      <c r="D117" s="10" t="inlineStr">
        <is>
          <t>Droits réservés</t>
        </is>
      </c>
      <c r="E117" s="10" t="inlineStr">
        <is>
          <t>Transactions et Référencement avancé ne peuvent être accordés que par un administrateur supérieur</t>
        </is>
      </c>
      <c r="F117" s="10" t="inlineStr">
        <is>
          <t>Planche C</t>
        </is>
      </c>
      <c r="G117" s="20" t="inlineStr">
        <is>
          <t>Développé</t>
        </is>
      </c>
      <c r="H117" s="9" t="inlineStr">
        <is>
          <t>Majeur</t>
        </is>
      </c>
      <c r="I117" s="9" t="n"/>
      <c r="J117" s="10" t="n"/>
    </row>
    <row r="118">
      <c r="A118" s="10" t="inlineStr">
        <is>
          <t>ADM-24</t>
        </is>
      </c>
      <c r="B118" s="10" t="inlineStr">
        <is>
          <t>Back-office</t>
        </is>
      </c>
      <c r="C118" s="10" t="inlineStr">
        <is>
          <t>/admin/acces</t>
        </is>
      </c>
      <c r="D118" s="10" t="inlineStr">
        <is>
          <t>Auto-révocation impossible</t>
        </is>
      </c>
      <c r="E118" s="10" t="inlineStr">
        <is>
          <t>Un compte ne peut pas se retirer ses propres droits</t>
        </is>
      </c>
      <c r="F118" s="10" t="inlineStr">
        <is>
          <t>Planche C</t>
        </is>
      </c>
      <c r="G118" s="20" t="inlineStr">
        <is>
          <t>Développé</t>
        </is>
      </c>
      <c r="H118" s="9" t="inlineStr">
        <is>
          <t>Majeur</t>
        </is>
      </c>
      <c r="I118" s="9" t="n"/>
      <c r="J118" s="10" t="n"/>
    </row>
    <row r="119">
      <c r="A119" s="10" t="inlineStr">
        <is>
          <t>ADM-25</t>
        </is>
      </c>
      <c r="B119" s="10" t="inlineStr">
        <is>
          <t>Back-office</t>
        </is>
      </c>
      <c r="C119" s="10" t="inlineStr">
        <is>
          <t>/admin/historique</t>
        </is>
      </c>
      <c r="D119" s="10" t="inlineStr">
        <is>
          <t>Historique et restauration</t>
        </is>
      </c>
      <c r="E119" s="10" t="inlineStr">
        <is>
          <t>Toute écriture enregistre l'état précédent ; la restauration réécrit l'objet et est elle-même journalisée</t>
        </is>
      </c>
      <c r="F119" s="10" t="inlineStr">
        <is>
          <t>Planche C</t>
        </is>
      </c>
      <c r="G119" s="20" t="inlineStr">
        <is>
          <t>Développé</t>
        </is>
      </c>
      <c r="H119" s="9" t="inlineStr">
        <is>
          <t>Majeur</t>
        </is>
      </c>
      <c r="I119" s="9" t="n"/>
      <c r="J119" s="10" t="n"/>
    </row>
    <row r="120">
      <c r="A120" s="10" t="inlineStr">
        <is>
          <t>ADM-26</t>
        </is>
      </c>
      <c r="B120" s="10" t="inlineStr">
        <is>
          <t>Back-office</t>
        </is>
      </c>
      <c r="C120" s="10" t="inlineStr">
        <is>
          <t>/admin/parametres</t>
        </is>
      </c>
      <c r="D120" s="10" t="inlineStr">
        <is>
          <t>Paramètres financiers</t>
        </is>
      </c>
      <c r="E120" s="10" t="inlineStr">
        <is>
          <t>Prix, frais de paiement et répartition réservés à l'administrateur supérieur</t>
        </is>
      </c>
      <c r="F120" s="10" t="inlineStr">
        <is>
          <t>Planche C</t>
        </is>
      </c>
      <c r="G120" s="20" t="inlineStr">
        <is>
          <t>Développé</t>
        </is>
      </c>
      <c r="H120" s="9" t="inlineStr">
        <is>
          <t>Majeur</t>
        </is>
      </c>
      <c r="I120" s="9" t="n"/>
      <c r="J120" s="10" t="n"/>
    </row>
    <row r="121">
      <c r="A121" s="10" t="inlineStr">
        <is>
          <t>ADM-27</t>
        </is>
      </c>
      <c r="B121" s="10" t="inlineStr">
        <is>
          <t>Back-office</t>
        </is>
      </c>
      <c r="C121" s="10" t="inlineStr">
        <is>
          <t>/admin/referencement</t>
        </is>
      </c>
      <c r="D121" s="10" t="inlineStr">
        <is>
          <t>Onglet Référencement</t>
        </is>
      </c>
      <c r="E121" s="10" t="inlineStr">
        <is>
          <t>Liste des pages indexables filtrable par type (accueil, programmes, modules, formateurs, pages, articles) avec édition du SEO</t>
        </is>
      </c>
      <c r="F121" s="10" t="inlineStr">
        <is>
          <t>E-mail de lancement §5</t>
        </is>
      </c>
      <c r="G121" s="20" t="inlineStr">
        <is>
          <t>Développé</t>
        </is>
      </c>
      <c r="H121" s="9" t="inlineStr">
        <is>
          <t>Majeur</t>
        </is>
      </c>
      <c r="I121" s="9" t="n"/>
      <c r="J121" s="10" t="n"/>
    </row>
    <row r="122">
      <c r="A122" s="10" t="inlineStr">
        <is>
          <t>SEC-01</t>
        </is>
      </c>
      <c r="B122" s="10" t="inlineStr">
        <is>
          <t>Sécurité</t>
        </is>
      </c>
      <c r="C122" s="10" t="inlineStr">
        <is>
          <t>/connexion</t>
        </is>
      </c>
      <c r="D122" s="10" t="inlineStr">
        <is>
          <t>Connexion</t>
        </is>
      </c>
      <c r="E122" s="10" t="inlineStr">
        <is>
          <t>E-mail et mot de passe, message d'erreur non bavard</t>
        </is>
      </c>
      <c r="F122" s="10" t="inlineStr">
        <is>
          <t>Planche C — connexion sécurisée</t>
        </is>
      </c>
      <c r="G122" s="20" t="inlineStr">
        <is>
          <t>Développé</t>
        </is>
      </c>
      <c r="H122" s="22" t="inlineStr">
        <is>
          <t>Bloquant</t>
        </is>
      </c>
      <c r="I122" s="9" t="n"/>
      <c r="J122" s="10" t="n"/>
    </row>
    <row r="123">
      <c r="A123" s="10" t="inlineStr">
        <is>
          <t>SEC-02</t>
        </is>
      </c>
      <c r="B123" s="10" t="inlineStr">
        <is>
          <t>Sécurité</t>
        </is>
      </c>
      <c r="C123" s="10" t="inlineStr">
        <is>
          <t>server/utils/motDePasse.ts</t>
        </is>
      </c>
      <c r="D123" s="10" t="inlineStr">
        <is>
          <t>Hachage des mots de passe</t>
        </is>
      </c>
      <c r="E123" s="10" t="inlineStr">
        <is>
          <t>scrypt, sel par compte, comparaison à temps constant</t>
        </is>
      </c>
      <c r="F123" s="10" t="inlineStr">
        <is>
          <t>Planche C</t>
        </is>
      </c>
      <c r="G123" s="20" t="inlineStr">
        <is>
          <t>Développé</t>
        </is>
      </c>
      <c r="H123" s="22" t="inlineStr">
        <is>
          <t>Bloquant</t>
        </is>
      </c>
      <c r="I123" s="9" t="n"/>
      <c r="J123" s="10" t="n"/>
    </row>
    <row r="124">
      <c r="A124" s="10" t="inlineStr">
        <is>
          <t>SEC-03</t>
        </is>
      </c>
      <c r="B124" s="10" t="inlineStr">
        <is>
          <t>Sécurité</t>
        </is>
      </c>
      <c r="C124" s="10" t="inlineStr">
        <is>
          <t>server/utils/session.ts</t>
        </is>
      </c>
      <c r="D124" s="10" t="inlineStr">
        <is>
          <t>Cookie de session</t>
        </is>
      </c>
      <c r="E124" s="10" t="inlineStr">
        <is>
          <t>Chiffré et signé, Secure dès que la requête est en HTTPS</t>
        </is>
      </c>
      <c r="F124" s="10" t="inlineStr">
        <is>
          <t>Planche C</t>
        </is>
      </c>
      <c r="G124" s="20" t="inlineStr">
        <is>
          <t>Développé</t>
        </is>
      </c>
      <c r="H124" s="22" t="inlineStr">
        <is>
          <t>Bloquant</t>
        </is>
      </c>
      <c r="I124" s="9" t="n"/>
      <c r="J124" s="10" t="n"/>
    </row>
    <row r="125">
      <c r="A125" s="10" t="inlineStr">
        <is>
          <t>SEC-04</t>
        </is>
      </c>
      <c r="B125" s="10" t="inlineStr">
        <is>
          <t>Sécurité</t>
        </is>
      </c>
      <c r="C125" s="10" t="inlineStr">
        <is>
          <t>table connexions</t>
        </is>
      </c>
      <c r="D125" s="10" t="inlineStr">
        <is>
          <t>Journal des tentatives</t>
        </is>
      </c>
      <c r="E125" s="10" t="inlineStr">
        <is>
          <t>E-mail, IP, appareil et horodatage enregistrés à chaque tentative</t>
        </is>
      </c>
      <c r="F125" s="10" t="inlineStr">
        <is>
          <t>Planche C</t>
        </is>
      </c>
      <c r="G125" s="20" t="inlineStr">
        <is>
          <t>Développé</t>
        </is>
      </c>
      <c r="H125" s="9" t="inlineStr">
        <is>
          <t>Majeur</t>
        </is>
      </c>
      <c r="I125" s="9" t="n"/>
      <c r="J125" s="10" t="n"/>
    </row>
    <row r="126">
      <c r="A126" s="10" t="inlineStr">
        <is>
          <t>SEC-05</t>
        </is>
      </c>
      <c r="B126" s="10" t="inlineStr">
        <is>
          <t>Sécurité</t>
        </is>
      </c>
      <c r="C126" s="10" t="inlineStr">
        <is>
          <t>enregistrer_tentative_connexion()</t>
        </is>
      </c>
      <c r="D126" s="10" t="inlineStr">
        <is>
          <t>Verrouillage</t>
        </is>
      </c>
      <c r="E126" s="10" t="inlineStr">
        <is>
          <t>5 échecs en 30 minutes verrouillent le compte 30 minutes, avec entrée au journal</t>
        </is>
      </c>
      <c r="F126" s="10" t="inlineStr">
        <is>
          <t>Planche C</t>
        </is>
      </c>
      <c r="G126" s="20" t="inlineStr">
        <is>
          <t>Développé</t>
        </is>
      </c>
      <c r="H126" s="9" t="inlineStr">
        <is>
          <t>Majeur</t>
        </is>
      </c>
      <c r="I126" s="9" t="n"/>
      <c r="J126" s="10" t="n"/>
    </row>
    <row r="127">
      <c r="A127" s="10" t="inlineStr">
        <is>
          <t>SEC-06</t>
        </is>
      </c>
      <c r="B127" s="10" t="inlineStr">
        <is>
          <t>Sécurité</t>
        </is>
      </c>
      <c r="C127" s="10" t="inlineStr">
        <is>
          <t>server/utils/session.ts</t>
        </is>
      </c>
      <c r="D127" s="10" t="inlineStr">
        <is>
          <t>Révocation immédiate</t>
        </is>
      </c>
      <c r="E127" s="10" t="inlineStr">
        <is>
          <t>Le compte est relu en base à chaque requête : retirer un droit prend effet sans attendre l'expiration de la session</t>
        </is>
      </c>
      <c r="F127" s="10" t="inlineStr">
        <is>
          <t>Planche C</t>
        </is>
      </c>
      <c r="G127" s="20" t="inlineStr">
        <is>
          <t>Développé</t>
        </is>
      </c>
      <c r="H127" s="9" t="inlineStr">
        <is>
          <t>Majeur</t>
        </is>
      </c>
      <c r="I127" s="9" t="n"/>
      <c r="J127" s="10" t="n"/>
    </row>
    <row r="128">
      <c r="A128" s="10" t="inlineStr">
        <is>
          <t>SEC-07</t>
        </is>
      </c>
      <c r="B128" s="10" t="inlineStr">
        <is>
          <t>Sécurité</t>
        </is>
      </c>
      <c r="C128" s="10" t="inlineStr">
        <is>
          <t>/mot-de-passe-oublie</t>
        </is>
      </c>
      <c r="D128" s="10" t="inlineStr">
        <is>
          <t>Réinitialisation</t>
        </is>
      </c>
      <c r="E128" s="10" t="inlineStr">
        <is>
          <t>Lien à usage unique valable 30 minutes, envoyé par e-mail à l'apprenant</t>
        </is>
      </c>
      <c r="F128" s="10" t="inlineStr">
        <is>
          <t>Planche C</t>
        </is>
      </c>
      <c r="G128" s="21" t="inlineStr">
        <is>
          <t>Bloqué — prestataire</t>
        </is>
      </c>
      <c r="H128" s="22" t="inlineStr">
        <is>
          <t>Bloquant</t>
        </is>
      </c>
      <c r="I128" s="9" t="n"/>
      <c r="J128" s="10" t="n"/>
    </row>
    <row r="129">
      <c r="A129" s="10" t="inlineStr">
        <is>
          <t>SEC-08</t>
        </is>
      </c>
      <c r="B129" s="10" t="inlineStr">
        <is>
          <t>Sécurité</t>
        </is>
      </c>
      <c r="C129" s="10" t="inlineStr">
        <is>
          <t>table codes_verification</t>
        </is>
      </c>
      <c r="D129" s="10" t="inlineStr">
        <is>
          <t>Double vérification apprenant</t>
        </is>
      </c>
      <c r="E129" s="10" t="inlineStr">
        <is>
          <t>Code à 6 chiffres par e-mail et WhatsApp à la connexion — table en place, étape non activée</t>
        </is>
      </c>
      <c r="F129" s="10" t="inlineStr">
        <is>
          <t>Planche C</t>
        </is>
      </c>
      <c r="G129" s="21" t="inlineStr">
        <is>
          <t>Non développé</t>
        </is>
      </c>
      <c r="H129" s="9" t="inlineStr">
        <is>
          <t>Majeur</t>
        </is>
      </c>
      <c r="I129" s="9" t="n"/>
      <c r="J129" s="10" t="n"/>
    </row>
    <row r="130">
      <c r="A130" s="10" t="inlineStr">
        <is>
          <t>SEC-09</t>
        </is>
      </c>
      <c r="B130" s="10" t="inlineStr">
        <is>
          <t>Sécurité</t>
        </is>
      </c>
      <c r="C130" s="10" t="inlineStr">
        <is>
          <t>Supabase</t>
        </is>
      </c>
      <c r="D130" s="10" t="inlineStr">
        <is>
          <t>Sécurité au niveau des lignes</t>
        </is>
      </c>
      <c r="E130" s="10" t="inlineStr">
        <is>
          <t>RLS activé sur toutes les tables, la clé publique n'a accès à rien</t>
        </is>
      </c>
      <c r="F130" s="10" t="inlineStr">
        <is>
          <t>Migration 03</t>
        </is>
      </c>
      <c r="G130" s="20" t="inlineStr">
        <is>
          <t>Développé</t>
        </is>
      </c>
      <c r="H130" s="22" t="inlineStr">
        <is>
          <t>Bloquant</t>
        </is>
      </c>
      <c r="I130" s="9" t="n"/>
      <c r="J130" s="10" t="n"/>
    </row>
    <row r="131">
      <c r="A131" s="10" t="inlineStr">
        <is>
          <t>SEC-10</t>
        </is>
      </c>
      <c r="B131" s="10" t="inlineStr">
        <is>
          <t>Sécurité</t>
        </is>
      </c>
      <c r="C131" s="10" t="inlineStr">
        <is>
          <t>.env</t>
        </is>
      </c>
      <c r="D131" s="10" t="inlineStr">
        <is>
          <t>Clés secrètes</t>
        </is>
      </c>
      <c r="E131" s="10" t="inlineStr">
        <is>
          <t>Clé secrète Supabase côté serveur uniquement, NUXT_SESSION_PASSWORD ≥ 32 caractères en production</t>
        </is>
      </c>
      <c r="F131" s="10" t="inlineStr">
        <is>
          <t>README</t>
        </is>
      </c>
      <c r="G131" s="20" t="inlineStr">
        <is>
          <t>Développé</t>
        </is>
      </c>
      <c r="H131" s="22" t="inlineStr">
        <is>
          <t>Bloquant</t>
        </is>
      </c>
      <c r="I131" s="9" t="n"/>
      <c r="J131" s="10" t="n"/>
    </row>
    <row r="132">
      <c r="A132" s="10" t="inlineStr">
        <is>
          <t>SEC-11</t>
        </is>
      </c>
      <c r="B132" s="10" t="inlineStr">
        <is>
          <t>Sécurité</t>
        </is>
      </c>
      <c r="C132" s="10" t="inlineStr">
        <is>
          <t>Comptes de démonstration</t>
        </is>
      </c>
      <c r="D132" s="10" t="inlineStr">
        <is>
          <t>Mots de passe de démonstration</t>
        </is>
      </c>
      <c r="E132" s="10" t="inlineStr">
        <is>
          <t>Le mot de passe commun Masterclass2026! doit être changé et retiré de l'écran de connexion avant ouverture</t>
        </is>
      </c>
      <c r="F132" s="10" t="inlineStr">
        <is>
          <t>TODO §4</t>
        </is>
      </c>
      <c r="G132" s="21" t="inlineStr">
        <is>
          <t>Non développé</t>
        </is>
      </c>
      <c r="H132" s="22" t="inlineStr">
        <is>
          <t>Bloquant</t>
        </is>
      </c>
      <c r="I132" s="9" t="n"/>
      <c r="J132" s="10" t="n"/>
    </row>
    <row r="133">
      <c r="A133" s="10" t="inlineStr">
        <is>
          <t>SEO-01</t>
        </is>
      </c>
      <c r="B133" s="10" t="inlineStr">
        <is>
          <t>Référencement</t>
        </is>
      </c>
      <c r="C133" s="10" t="inlineStr">
        <is>
          <t>Build de production</t>
        </is>
      </c>
      <c r="D133" s="10" t="inlineStr">
        <is>
          <t>Un seul H1 par page</t>
        </is>
      </c>
      <c r="E133" s="10" t="inlineStr">
        <is>
          <t>Aucune page publique ne porte deux H1</t>
        </is>
      </c>
      <c r="F133" s="10" t="inlineStr">
        <is>
          <t>Spéc. SEO §6</t>
        </is>
      </c>
      <c r="G133" s="20" t="inlineStr">
        <is>
          <t>Développé</t>
        </is>
      </c>
      <c r="H133" s="9" t="inlineStr">
        <is>
          <t>Majeur</t>
        </is>
      </c>
      <c r="I133" s="9" t="n"/>
      <c r="J133" s="10" t="n"/>
    </row>
    <row r="134">
      <c r="A134" s="10" t="inlineStr">
        <is>
          <t>SEO-02</t>
        </is>
      </c>
      <c r="B134" s="10" t="inlineStr">
        <is>
          <t>Référencement</t>
        </is>
      </c>
      <c r="C134" s="10" t="inlineStr">
        <is>
          <t>Pages privées</t>
        </is>
      </c>
      <c r="D134" s="10" t="inlineStr">
        <is>
          <t>noindex</t>
        </is>
      </c>
      <c r="E134" s="10" t="inlineStr">
        <is>
          <t>Connexion, tunnel, espaces apprenant/formateur/admin en noindex et hors sitemap</t>
        </is>
      </c>
      <c r="F134" s="10" t="inlineStr">
        <is>
          <t>Spéc. SEO §2</t>
        </is>
      </c>
      <c r="G134" s="20" t="inlineStr">
        <is>
          <t>Développé</t>
        </is>
      </c>
      <c r="H134" s="9" t="inlineStr">
        <is>
          <t>Majeur</t>
        </is>
      </c>
      <c r="I134" s="9" t="n"/>
      <c r="J134" s="10" t="n"/>
    </row>
    <row r="135">
      <c r="A135" s="10" t="inlineStr">
        <is>
          <t>SEO-03</t>
        </is>
      </c>
      <c r="B135" s="10" t="inlineStr">
        <is>
          <t>Référencement</t>
        </is>
      </c>
      <c r="C135" s="10" t="inlineStr">
        <is>
          <t>/sitemap.xml</t>
        </is>
      </c>
      <c r="D135" s="10" t="inlineStr">
        <is>
          <t>Sitemap</t>
        </is>
      </c>
      <c r="E135" s="10" t="inlineStr">
        <is>
          <t>Uniquement les URL publiées et canoniques ; brouillons et modules en préparation absents</t>
        </is>
      </c>
      <c r="F135" s="10" t="inlineStr">
        <is>
          <t>Spéc. SEO §8</t>
        </is>
      </c>
      <c r="G135" s="20" t="inlineStr">
        <is>
          <t>Développé</t>
        </is>
      </c>
      <c r="H135" s="9" t="inlineStr">
        <is>
          <t>Majeur</t>
        </is>
      </c>
      <c r="I135" s="9" t="n"/>
      <c r="J135" s="10" t="n"/>
    </row>
    <row r="136">
      <c r="A136" s="10" t="inlineStr">
        <is>
          <t>SEO-04</t>
        </is>
      </c>
      <c r="B136" s="10" t="inlineStr">
        <is>
          <t>Référencement</t>
        </is>
      </c>
      <c r="C136" s="10" t="inlineStr">
        <is>
          <t>server/middleware/redirections.ts</t>
        </is>
      </c>
      <c r="D136" s="10" t="inlineStr">
        <is>
          <t>Redirection 301</t>
        </is>
      </c>
      <c r="E136" s="10" t="inlineStr">
        <is>
          <t>Un changement de slug crée automatiquement la redirection permanente</t>
        </is>
      </c>
      <c r="F136" s="10" t="inlineStr">
        <is>
          <t>Spéc. SEO §5</t>
        </is>
      </c>
      <c r="G136" s="20" t="inlineStr">
        <is>
          <t>Développé</t>
        </is>
      </c>
      <c r="H136" s="9" t="inlineStr">
        <is>
          <t>Majeur</t>
        </is>
      </c>
      <c r="I136" s="9" t="n"/>
      <c r="J136" s="10" t="n"/>
    </row>
    <row r="137">
      <c r="A137" s="10" t="inlineStr">
        <is>
          <t>SEO-05</t>
        </is>
      </c>
      <c r="B137" s="10" t="inlineStr">
        <is>
          <t>Référencement</t>
        </is>
      </c>
      <c r="C137" s="10" t="inlineStr">
        <is>
          <t>PUT /api/admin/referencement</t>
        </is>
      </c>
      <c r="D137" s="10" t="inlineStr">
        <is>
          <t>Confirmation d'URL</t>
        </is>
      </c>
      <c r="E137" s="10" t="inlineStr">
        <is>
          <t>Modifier une URL déjà publiée exige une confirmation explicite (HTTP 428 sinon)</t>
        </is>
      </c>
      <c r="F137" s="10" t="inlineStr">
        <is>
          <t>Spéc. SEO §3</t>
        </is>
      </c>
      <c r="G137" s="20" t="inlineStr">
        <is>
          <t>Développé</t>
        </is>
      </c>
      <c r="H137" s="9" t="inlineStr">
        <is>
          <t>Majeur</t>
        </is>
      </c>
      <c r="I137" s="9" t="n"/>
      <c r="J137" s="10" t="n"/>
    </row>
    <row r="138">
      <c r="A138" s="10" t="inlineStr">
        <is>
          <t>SEO-06</t>
        </is>
      </c>
      <c r="B138" s="10" t="inlineStr">
        <is>
          <t>Référencement</t>
        </is>
      </c>
      <c r="C138" s="10" t="inlineStr">
        <is>
          <t>/admin/referencement</t>
        </is>
      </c>
      <c r="D138" s="10" t="inlineStr">
        <is>
          <t>Doublons Title / description</t>
        </is>
      </c>
      <c r="E138" s="10" t="inlineStr">
        <is>
          <t>Alerte en direct lorsqu'un Title ou une description duplique une autre page</t>
        </is>
      </c>
      <c r="F138" s="10" t="inlineStr">
        <is>
          <t>Spéc. SEO §3</t>
        </is>
      </c>
      <c r="G138" s="20" t="inlineStr">
        <is>
          <t>Développé</t>
        </is>
      </c>
      <c r="H138" s="9" t="inlineStr">
        <is>
          <t>Majeur</t>
        </is>
      </c>
      <c r="I138" s="9" t="n"/>
      <c r="J138" s="10" t="n"/>
    </row>
    <row r="139">
      <c r="A139" s="10" t="inlineStr">
        <is>
          <t>SEO-07</t>
        </is>
      </c>
      <c r="B139" s="10" t="inlineStr">
        <is>
          <t>Référencement</t>
        </is>
      </c>
      <c r="C139" s="10" t="inlineStr">
        <is>
          <t>useJsonLd()</t>
        </is>
      </c>
      <c r="D139" s="10" t="inlineStr">
        <is>
          <t>Données structurées</t>
        </is>
      </c>
      <c r="E139" s="10" t="inlineStr">
        <is>
          <t>Organization, Course, Person, Article, BreadcrumbList, FAQPage, ItemList, conformes au contenu visible</t>
        </is>
      </c>
      <c r="F139" s="10" t="inlineStr">
        <is>
          <t>Spéc. SEO §9</t>
        </is>
      </c>
      <c r="G139" s="20" t="inlineStr">
        <is>
          <t>Développé</t>
        </is>
      </c>
      <c r="H139" s="9" t="inlineStr">
        <is>
          <t>Majeur</t>
        </is>
      </c>
      <c r="I139" s="9" t="n"/>
      <c r="J139" s="10" t="n"/>
    </row>
    <row r="140">
      <c r="A140" s="10" t="inlineStr">
        <is>
          <t>SEO-08</t>
        </is>
      </c>
      <c r="B140" s="10" t="inlineStr">
        <is>
          <t>Référencement</t>
        </is>
      </c>
      <c r="C140" s="10" t="inlineStr">
        <is>
          <t>FilAriane.vue</t>
        </is>
      </c>
      <c r="D140" s="10" t="inlineStr">
        <is>
          <t>Fil d'Ariane</t>
        </is>
      </c>
      <c r="E140" s="10" t="inlineStr">
        <is>
          <t>Visible et structuré sur les modules, les profils et les articles</t>
        </is>
      </c>
      <c r="F140" s="10" t="inlineStr">
        <is>
          <t>Spéc. SEO §7</t>
        </is>
      </c>
      <c r="G140" s="20" t="inlineStr">
        <is>
          <t>Développé</t>
        </is>
      </c>
      <c r="H140" s="9" t="inlineStr">
        <is>
          <t>Mineur</t>
        </is>
      </c>
      <c r="I140" s="9" t="n"/>
      <c r="J140" s="10" t="n"/>
    </row>
    <row r="141">
      <c r="A141" s="10" t="inlineStr">
        <is>
          <t>SEO-09</t>
        </is>
      </c>
      <c r="B141" s="10" t="inlineStr">
        <is>
          <t>Référencement</t>
        </is>
      </c>
      <c r="C141" s="10" t="inlineStr">
        <is>
          <t>/robots.txt</t>
        </is>
      </c>
      <c r="D141" s="10" t="inlineStr">
        <is>
          <t>robots.txt</t>
        </is>
      </c>
      <c r="E141" s="10" t="inlineStr">
        <is>
          <t>Déclare le sitemap ; Disallow /formateur/ sans bloquer /formateurs</t>
        </is>
      </c>
      <c r="F141" s="10" t="inlineStr">
        <is>
          <t>Spéc. SEO §8</t>
        </is>
      </c>
      <c r="G141" s="20" t="inlineStr">
        <is>
          <t>Développé</t>
        </is>
      </c>
      <c r="H141" s="9" t="inlineStr">
        <is>
          <t>Majeur</t>
        </is>
      </c>
      <c r="I141" s="9" t="n"/>
      <c r="J141" s="10" t="n"/>
    </row>
    <row r="142">
      <c r="A142" s="10" t="inlineStr">
        <is>
          <t>SEO-10</t>
        </is>
      </c>
      <c r="B142" s="10" t="inlineStr">
        <is>
          <t>Référencement</t>
        </is>
      </c>
      <c r="C142" s="10" t="inlineStr">
        <is>
          <t>Search Console</t>
        </is>
      </c>
      <c r="D142" s="10" t="inlineStr">
        <is>
          <t>Soumission du sitemap</t>
        </is>
      </c>
      <c r="E142" s="10" t="inlineStr">
        <is>
          <t>Domaine vérifié et sitemap soumis dans la Search Console</t>
        </is>
      </c>
      <c r="F142" s="10" t="inlineStr">
        <is>
          <t>Spéc. SEO §12</t>
        </is>
      </c>
      <c r="G142" s="21" t="inlineStr">
        <is>
          <t>Bloqué — prestataire</t>
        </is>
      </c>
      <c r="H142" s="9" t="inlineStr">
        <is>
          <t>Majeur</t>
        </is>
      </c>
      <c r="I142" s="9" t="n"/>
      <c r="J142" s="10" t="n"/>
    </row>
    <row r="143">
      <c r="A143" s="10" t="inlineStr">
        <is>
          <t>SEO-11</t>
        </is>
      </c>
      <c r="B143" s="10" t="inlineStr">
        <is>
          <t>Référencement</t>
        </is>
      </c>
      <c r="C143" s="10" t="inlineStr">
        <is>
          <t>GA4</t>
        </is>
      </c>
      <c r="D143" s="10" t="inlineStr">
        <is>
          <t>Mesure d'audience</t>
        </is>
      </c>
      <c r="E143" s="10" t="inlineStr">
        <is>
          <t>GA4 connecté avec consentement, suivi des vues programmes/modules, clics CTA, débuts d'achat et achats confirmés</t>
        </is>
      </c>
      <c r="F143" s="10" t="inlineStr">
        <is>
          <t>Spéc. SEO §12</t>
        </is>
      </c>
      <c r="G143" s="21" t="inlineStr">
        <is>
          <t>Bloqué — prestataire</t>
        </is>
      </c>
      <c r="H143" s="9" t="inlineStr">
        <is>
          <t>Majeur</t>
        </is>
      </c>
      <c r="I143" s="9" t="n"/>
      <c r="J143" s="10" t="n"/>
    </row>
    <row r="144">
      <c r="A144" s="10" t="inlineStr">
        <is>
          <t>EXP-01</t>
        </is>
      </c>
      <c r="B144" s="10" t="inlineStr">
        <is>
          <t>Exploitation</t>
        </is>
      </c>
      <c r="C144" s="10" t="inlineStr">
        <is>
          <t>supabase/migrations</t>
        </is>
      </c>
      <c r="D144" s="10" t="inlineStr">
        <is>
          <t>Migrations appliquées</t>
        </is>
      </c>
      <c r="E144" s="10" t="inlineStr">
        <is>
          <t>Migrations 01 à 05, rattrapage des mots de passe et jeu de données en place — vérifié le 02/09</t>
        </is>
      </c>
      <c r="F144" s="10" t="inlineStr">
        <is>
          <t>TODO §2</t>
        </is>
      </c>
      <c r="G144" s="20" t="inlineStr">
        <is>
          <t>Développé</t>
        </is>
      </c>
      <c r="H144" s="22" t="inlineStr">
        <is>
          <t>Bloquant</t>
        </is>
      </c>
      <c r="I144" s="9" t="n"/>
      <c r="J144" s="10" t="n"/>
    </row>
    <row r="145">
      <c r="A145" s="10" t="inlineStr">
        <is>
          <t>EXP-02</t>
        </is>
      </c>
      <c r="B145" s="10" t="inlineStr">
        <is>
          <t>Exploitation</t>
        </is>
      </c>
      <c r="C145" s="10" t="inlineStr">
        <is>
          <t>npm run db:verifier</t>
        </is>
      </c>
      <c r="D145" s="10" t="inlineStr">
        <is>
          <t>Rejeu sans Docker</t>
        </is>
      </c>
      <c r="E145" s="10" t="inlineStr">
        <is>
          <t>Migrations, seed et fichiers en ligne rejoués sur PostgreSQL (PGlite), règles métier contrôlées</t>
        </is>
      </c>
      <c r="F145" s="10" t="inlineStr">
        <is>
          <t>README</t>
        </is>
      </c>
      <c r="G145" s="20" t="inlineStr">
        <is>
          <t>Développé</t>
        </is>
      </c>
      <c r="H145" s="9" t="inlineStr">
        <is>
          <t>Majeur</t>
        </is>
      </c>
      <c r="I145" s="9" t="n"/>
      <c r="J145" s="10" t="n"/>
    </row>
    <row r="146">
      <c r="A146" s="10" t="inlineStr">
        <is>
          <t>EXP-03</t>
        </is>
      </c>
      <c r="B146" s="10" t="inlineStr">
        <is>
          <t>Exploitation</t>
        </is>
      </c>
      <c r="C146" s="10" t="inlineStr">
        <is>
          <t>npm run typecheck</t>
        </is>
      </c>
      <c r="D146" s="10" t="inlineStr">
        <is>
          <t>Contrôle des types</t>
        </is>
      </c>
      <c r="E146" s="10" t="inlineStr">
        <is>
          <t>Aucune erreur de type — vérifié le 02/09</t>
        </is>
      </c>
      <c r="F146" s="10" t="inlineStr">
        <is>
          <t>README</t>
        </is>
      </c>
      <c r="G146" s="20" t="inlineStr">
        <is>
          <t>Développé</t>
        </is>
      </c>
      <c r="H146" s="9" t="inlineStr">
        <is>
          <t>Majeur</t>
        </is>
      </c>
      <c r="I146" s="9" t="n"/>
      <c r="J146" s="10" t="n"/>
    </row>
    <row r="147">
      <c r="A147" s="10" t="inlineStr">
        <is>
          <t>EXP-04</t>
        </is>
      </c>
      <c r="B147" s="10" t="inlineStr">
        <is>
          <t>Exploitation</t>
        </is>
      </c>
      <c r="C147" s="10" t="inlineStr">
        <is>
          <t>npm run build</t>
        </is>
      </c>
      <c r="D147" s="10" t="inlineStr">
        <is>
          <t>Build de production</t>
        </is>
      </c>
      <c r="E147" s="10" t="inlineStr">
        <is>
          <t>Le build passe et démarre par node .output/server/index.mjs</t>
        </is>
      </c>
      <c r="F147" s="10" t="inlineStr">
        <is>
          <t>README</t>
        </is>
      </c>
      <c r="G147" s="20" t="inlineStr">
        <is>
          <t>Développé</t>
        </is>
      </c>
      <c r="H147" s="22" t="inlineStr">
        <is>
          <t>Bloquant</t>
        </is>
      </c>
      <c r="I147" s="9" t="n"/>
      <c r="J147" s="10" t="n"/>
    </row>
    <row r="148">
      <c r="A148" s="10" t="inlineStr">
        <is>
          <t>EXP-05</t>
        </is>
      </c>
      <c r="B148" s="10" t="inlineStr">
        <is>
          <t>Exploitation</t>
        </is>
      </c>
      <c r="C148" s="10" t="inlineStr">
        <is>
          <t>Hébergement</t>
        </is>
      </c>
      <c r="D148" s="10" t="inlineStr">
        <is>
          <t>Domaine et mise en production</t>
        </is>
      </c>
      <c r="E148" s="10" t="inlineStr">
        <is>
          <t>emasterclass.bigfive.ci pointé, HTTPS actif, variables d'environnement de production posées</t>
        </is>
      </c>
      <c r="F148" s="10" t="inlineStr">
        <is>
          <t>README</t>
        </is>
      </c>
      <c r="G148" s="21" t="inlineStr">
        <is>
          <t>Non développé</t>
        </is>
      </c>
      <c r="H148" s="22" t="inlineStr">
        <is>
          <t>Bloquant</t>
        </is>
      </c>
      <c r="I148" s="9" t="n"/>
      <c r="J148" s="10" t="n"/>
    </row>
    <row r="149">
      <c r="A149" s="10" t="inlineStr">
        <is>
          <t>EXP-06</t>
        </is>
      </c>
      <c r="B149" s="10" t="inlineStr">
        <is>
          <t>Exploitation</t>
        </is>
      </c>
      <c r="C149" s="10" t="inlineStr">
        <is>
          <t>Supabase</t>
        </is>
      </c>
      <c r="D149" s="10" t="inlineStr">
        <is>
          <t>Sauvegardes</t>
        </is>
      </c>
      <c r="E149" s="10" t="inlineStr">
        <is>
          <t>Politique de sauvegarde et de restauration arrêtée (l'offre gratuite ne garantit rien)</t>
        </is>
      </c>
      <c r="F149" s="10" t="inlineStr">
        <is>
          <t>À arbitrer</t>
        </is>
      </c>
      <c r="G149" s="21" t="inlineStr">
        <is>
          <t>Non développé</t>
        </is>
      </c>
      <c r="H149" s="9" t="inlineStr">
        <is>
          <t>Majeur</t>
        </is>
      </c>
      <c r="I149" s="9" t="n"/>
      <c r="J149" s="10" t="n"/>
    </row>
    <row r="150">
      <c r="A150" s="10" t="inlineStr">
        <is>
          <t>EXP-07</t>
        </is>
      </c>
      <c r="B150" s="10" t="inlineStr">
        <is>
          <t>Exploitation</t>
        </is>
      </c>
      <c r="C150" s="10" t="inlineStr">
        <is>
          <t>Cloudflare</t>
        </is>
      </c>
      <c r="D150" s="10" t="inlineStr">
        <is>
          <t>Diffusion vidéo en service</t>
        </is>
      </c>
      <c r="E150" s="10" t="inlineStr">
        <is>
          <t>Bucket R2 créé et Worker déployé — vérifié le 02/09</t>
        </is>
      </c>
      <c r="F150" s="10" t="inlineStr">
        <is>
          <t>TODO §3</t>
        </is>
      </c>
      <c r="G150" s="20" t="inlineStr">
        <is>
          <t>Développé</t>
        </is>
      </c>
      <c r="H150" s="9" t="inlineStr">
        <is>
          <t>Majeur</t>
        </is>
      </c>
      <c r="I150" s="9" t="n"/>
      <c r="J150" s="10" t="n"/>
    </row>
  </sheetData>
  <autoFilter ref="A4:J150"/>
  <dataValidations count="1">
    <dataValidation sqref="I5:I150" showDropDown="0" showInputMessage="0" showErrorMessage="0" allowBlank="1" promptTitle="Verdict" prompt="Choisir le verdict de la recette" type="list">
      <formula1>"OK,KO,À revoir,Sans objet,Non testé"</formula1>
    </dataValidation>
  </dataValidations>
  <printOptions horizontalCentered="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6" customWidth="1" min="3" max="3"/>
    <col width="56" customWidth="1" min="4" max="4"/>
    <col width="16" customWidth="1" min="5" max="5"/>
    <col width="26" customWidth="1" min="6" max="6"/>
    <col width="20" customWidth="1" min="7" max="7"/>
    <col width="26" customWidth="1" min="8" max="8"/>
  </cols>
  <sheetData>
    <row r="1">
      <c r="A1" s="19" t="inlineStr">
        <is>
          <t>Points manquants</t>
        </is>
      </c>
    </row>
    <row r="2">
      <c r="A2" s="2" t="inlineStr">
        <is>
          <t>Tout ce qui n'est pas livré, et pourquoi. « Bloque l'ouverture » = la plateforme ne peut pas être ouverte au public tant que ce point n'est pas réglé.</t>
        </is>
      </c>
    </row>
    <row r="4" ht="30" customHeight="1">
      <c r="A4" s="7" t="inlineStr">
        <is>
          <t>N°</t>
        </is>
      </c>
      <c r="B4" s="7" t="inlineStr">
        <is>
          <t>Catégorie</t>
        </is>
      </c>
      <c r="C4" s="7" t="inlineStr">
        <is>
          <t>Ce qui manque</t>
        </is>
      </c>
      <c r="D4" s="7" t="inlineStr">
        <is>
          <t>Conséquence aujourd'hui</t>
        </is>
      </c>
      <c r="E4" s="7" t="inlineStr">
        <is>
          <t>Bloque l'ouverture</t>
        </is>
      </c>
      <c r="F4" s="7" t="inlineStr">
        <is>
          <t>Qui le fournit</t>
        </is>
      </c>
      <c r="G4" s="7" t="inlineStr">
        <is>
          <t>Délai à prévoir</t>
        </is>
      </c>
      <c r="H4" s="7" t="inlineStr">
        <is>
          <t>Suivi</t>
        </is>
      </c>
    </row>
    <row r="5">
      <c r="A5" s="9" t="n">
        <v>1</v>
      </c>
      <c r="B5" s="10" t="inlineStr">
        <is>
          <t>Prestataire de paiement</t>
        </is>
      </c>
      <c r="C5" s="10" t="inlineStr">
        <is>
          <t>Intégration FeexPay complète : compte marchand, clés, appel d'API et retour signé</t>
        </is>
      </c>
      <c r="D5" s="10" t="inlineStr">
        <is>
          <t>Aucun argent n'est encaissé : la commande s'enregistre et l'accès s'ouvre, l'échange avec le prestataire est simulé</t>
        </is>
      </c>
      <c r="E5" s="22" t="inlineStr">
        <is>
          <t>Oui</t>
        </is>
      </c>
      <c r="F5" s="10" t="inlineStr">
        <is>
          <t>Client (compte) + développement</t>
        </is>
      </c>
      <c r="G5" s="10" t="inlineStr">
        <is>
          <t>2 à 3 semaines</t>
        </is>
      </c>
      <c r="H5" s="10" t="n"/>
    </row>
    <row r="6">
      <c r="A6" s="9" t="n">
        <v>2</v>
      </c>
      <c r="B6" s="10" t="inlineStr">
        <is>
          <t>Prestataire d'envoi</t>
        </is>
      </c>
      <c r="C6" s="10" t="inlineStr">
        <is>
          <t>Compte e-mail transactionnel et authentification DNS du domaine (SPF, DKIM, DMARC)</t>
        </is>
      </c>
      <c r="D6" s="10" t="inlineStr">
        <is>
          <t>Un apprenant qui oublie son mot de passe est bloqué ; aucune confirmation d'achat, aucune attestation ni avis d'annulation n'est envoyé</t>
        </is>
      </c>
      <c r="E6" s="22" t="inlineStr">
        <is>
          <t>Oui</t>
        </is>
      </c>
      <c r="F6" s="10" t="inlineStr">
        <is>
          <t>Client (compte + accès DNS)</t>
        </is>
      </c>
      <c r="G6" s="10" t="inlineStr">
        <is>
          <t>3 à 5 jours</t>
        </is>
      </c>
      <c r="H6" s="10" t="n"/>
    </row>
    <row r="7">
      <c r="A7" s="9" t="n">
        <v>3</v>
      </c>
      <c r="B7" s="10" t="inlineStr">
        <is>
          <t>Prestataire d'envoi</t>
        </is>
      </c>
      <c r="C7" s="10" t="inlineStr">
        <is>
          <t>SMTP personnalisé pour Supabase Auth (code à 6 chiffres de /admin/login)</t>
        </is>
      </c>
      <c r="D7" s="10" t="inlineStr">
        <is>
          <t>Sur l'offre gratuite, Supabase refuse le gabarit avec code : le code s'écrit dans la sortie du serveur, la connexion admin n'est pas utilisable en production</t>
        </is>
      </c>
      <c r="E7" s="22" t="inlineStr">
        <is>
          <t>Oui</t>
        </is>
      </c>
      <c r="F7" s="10" t="inlineStr">
        <is>
          <t>Client (compte SMTP)</t>
        </is>
      </c>
      <c r="G7" s="10" t="inlineStr">
        <is>
          <t>1 jour après le compte e-mail</t>
        </is>
      </c>
      <c r="H7" s="10" t="n"/>
    </row>
    <row r="8">
      <c r="A8" s="9" t="n">
        <v>4</v>
      </c>
      <c r="B8" s="10" t="inlineStr">
        <is>
          <t>Contenu client</t>
        </is>
      </c>
      <c r="C8" s="10" t="inlineStr">
        <is>
          <t>Les 18 vidéos montées et validées (72 chapitres)</t>
        </is>
      </c>
      <c r="D8" s="10" t="inlineStr">
        <is>
          <t>2 chapitres de démonstration seulement ; le lecteur affiche « la vidéo n'est pas encore en ligne » partout ailleurs</t>
        </is>
      </c>
      <c r="E8" s="22" t="inlineStr">
        <is>
          <t>Oui</t>
        </is>
      </c>
      <c r="F8" s="10" t="inlineStr">
        <is>
          <t>Client</t>
        </is>
      </c>
      <c r="G8" s="10" t="inlineStr">
        <is>
          <t>à arbitrer — poste le plus long</t>
        </is>
      </c>
      <c r="H8" s="10" t="n"/>
    </row>
    <row r="9">
      <c r="A9" s="9" t="n">
        <v>5</v>
      </c>
      <c r="B9" s="10" t="inlineStr">
        <is>
          <t>Contenu client</t>
        </is>
      </c>
      <c r="C9" s="10" t="inlineStr">
        <is>
          <t>Transcriptions des chapitres</t>
        </is>
      </c>
      <c r="D9" s="10" t="inlineStr">
        <is>
          <t>Le script synchronisé sous le lecteur reste vide</t>
        </is>
      </c>
      <c r="E9" s="24" t="inlineStr">
        <is>
          <t>Non</t>
        </is>
      </c>
      <c r="F9" s="10" t="inlineStr">
        <is>
          <t>Client</t>
        </is>
      </c>
      <c r="G9" s="10" t="inlineStr">
        <is>
          <t>avec les vidéos</t>
        </is>
      </c>
      <c r="H9" s="10" t="n"/>
    </row>
    <row r="10">
      <c r="A10" s="9" t="n">
        <v>6</v>
      </c>
      <c r="B10" s="10" t="inlineStr">
        <is>
          <t>Exploitation</t>
        </is>
      </c>
      <c r="C10" s="10" t="inlineStr">
        <is>
          <t>Exécuter 06-video.sql et rattrapage-videos.sql dans SQL Editor</t>
        </is>
      </c>
      <c r="D10" s="10" t="inlineStr">
        <is>
          <t>Le lecteur affiche « pas encore en ligne » sur tous les chapitres, y compris les démonstrations</t>
        </is>
      </c>
      <c r="E10" s="22" t="inlineStr">
        <is>
          <t>Oui</t>
        </is>
      </c>
      <c r="F10" s="10" t="inlineStr">
        <is>
          <t>Développement</t>
        </is>
      </c>
      <c r="G10" s="10" t="inlineStr">
        <is>
          <t>2 minutes</t>
        </is>
      </c>
      <c r="H10" s="10" t="n"/>
    </row>
    <row r="11">
      <c r="A11" s="9" t="n">
        <v>7</v>
      </c>
      <c r="B11" s="10" t="inlineStr">
        <is>
          <t>Prestataire visio</t>
        </is>
      </c>
      <c r="C11" s="10" t="inlineStr">
        <is>
          <t>Zoom Pro + application Meeting SDK (SDK Key et SDK Secret)</t>
        </is>
      </c>
      <c r="D11" s="10" t="inlineStr">
        <is>
          <t>La salle de coaching collectif n'est pas intégrée ; l'équipe crée la réunion à la main et transmet le lien</t>
        </is>
      </c>
      <c r="E11" s="22" t="inlineStr">
        <is>
          <t>Oui</t>
        </is>
      </c>
      <c r="F11" s="10" t="inlineStr">
        <is>
          <t>Client</t>
        </is>
      </c>
      <c r="G11" s="10" t="inlineStr">
        <is>
          <t>1 à 2 jours</t>
        </is>
      </c>
      <c r="H11" s="10" t="n"/>
    </row>
    <row r="12">
      <c r="A12" s="9" t="n">
        <v>8</v>
      </c>
      <c r="B12" s="10" t="inlineStr">
        <is>
          <t>Prestataire messagerie</t>
        </is>
      </c>
      <c r="C12" s="10" t="inlineStr">
        <is>
          <t>WhatsApp Business : accès Meta, vérification du +225 05 75 15 21 44, modèles de message</t>
        </is>
      </c>
      <c r="D12" s="10" t="inlineStr">
        <is>
          <t>Aucune notification WhatsApp ; le bouton de contact fonctionne, l'envoi automatique non</t>
        </is>
      </c>
      <c r="E12" s="24" t="inlineStr">
        <is>
          <t>Non</t>
        </is>
      </c>
      <c r="F12" s="10" t="inlineStr">
        <is>
          <t>Client</t>
        </is>
      </c>
      <c r="G12" s="10" t="inlineStr">
        <is>
          <t>1 à 2 semaines (validation Meta)</t>
        </is>
      </c>
      <c r="H12" s="10" t="n"/>
    </row>
    <row r="13">
      <c r="A13" s="9" t="n">
        <v>9</v>
      </c>
      <c r="B13" s="10" t="inlineStr">
        <is>
          <t>Mesure d'audience</t>
        </is>
      </c>
      <c r="C13" s="10" t="inlineStr">
        <is>
          <t>Propriété GA4, conteneur GTM, vérification Search Console</t>
        </is>
      </c>
      <c r="D13" s="10" t="inlineStr">
        <is>
          <t>Six indicateurs de /admin/performances affichent « — » et les onglets Funnel, Ventes, Visites, Clients restent incomplets</t>
        </is>
      </c>
      <c r="E13" s="24" t="inlineStr">
        <is>
          <t>Non</t>
        </is>
      </c>
      <c r="F13" s="10" t="inlineStr">
        <is>
          <t>Client</t>
        </is>
      </c>
      <c r="G13" s="10" t="inlineStr">
        <is>
          <t>1 jour</t>
        </is>
      </c>
      <c r="H13" s="10" t="n"/>
    </row>
    <row r="14">
      <c r="A14" s="9" t="n">
        <v>10</v>
      </c>
      <c r="B14" s="10" t="inlineStr">
        <is>
          <t>Contenu client</t>
        </is>
      </c>
      <c r="C14" s="10" t="inlineStr">
        <is>
          <t>Signature de la direction en PNG à fond transparent</t>
        </is>
      </c>
      <c r="D14" s="10" t="inlineStr">
        <is>
          <t>L'attestation n'affiche que le trait de signature</t>
        </is>
      </c>
      <c r="E14" s="24" t="inlineStr">
        <is>
          <t>Non</t>
        </is>
      </c>
      <c r="F14" s="10" t="inlineStr">
        <is>
          <t>Client</t>
        </is>
      </c>
      <c r="G14" s="10" t="inlineStr">
        <is>
          <t>immédiat</t>
        </is>
      </c>
      <c r="H14" s="10" t="n"/>
    </row>
    <row r="15">
      <c r="A15" s="9" t="n">
        <v>11</v>
      </c>
      <c r="B15" s="10" t="inlineStr">
        <is>
          <t>Contenu client</t>
        </is>
      </c>
      <c r="C15" s="10" t="inlineStr">
        <is>
          <t>Textes juridiques validés : CGU, CGV, mentions légales, confidentialité, cookies</t>
        </is>
      </c>
      <c r="D15" s="10" t="inlineStr">
        <is>
          <t>Les pages légales et la case du récapitulatif d'achat portent des textes non validés — risque juridique à l'ouverture</t>
        </is>
      </c>
      <c r="E15" s="22" t="inlineStr">
        <is>
          <t>Oui</t>
        </is>
      </c>
      <c r="F15" s="10" t="inlineStr">
        <is>
          <t>Client (conseil juridique)</t>
        </is>
      </c>
      <c r="G15" s="10" t="inlineStr">
        <is>
          <t>1 à 2 semaines</t>
        </is>
      </c>
      <c r="H15" s="10" t="n"/>
    </row>
    <row r="16">
      <c r="A16" s="9" t="n">
        <v>12</v>
      </c>
      <c r="B16" s="10" t="inlineStr">
        <is>
          <t>Contenu client</t>
        </is>
      </c>
      <c r="C16" s="10" t="inlineStr">
        <is>
          <t>Visuels définitifs : photos des formateurs, illustrations des modules et articles, image de partage</t>
        </is>
      </c>
      <c r="D16" s="10" t="inlineStr">
        <is>
          <t>Des placeholders rayés s'affichent sur le site public et dans les partages WhatsApp</t>
        </is>
      </c>
      <c r="E16" s="22" t="inlineStr">
        <is>
          <t>Oui</t>
        </is>
      </c>
      <c r="F16" s="10" t="inlineStr">
        <is>
          <t>Client</t>
        </is>
      </c>
      <c r="G16" s="10" t="inlineStr">
        <is>
          <t>1 à 2 semaines</t>
        </is>
      </c>
      <c r="H16" s="10" t="n"/>
    </row>
    <row r="17">
      <c r="A17" s="9" t="n">
        <v>13</v>
      </c>
      <c r="B17" s="10" t="inlineStr">
        <is>
          <t>Contenu client</t>
        </is>
      </c>
      <c r="C17" s="10" t="inlineStr">
        <is>
          <t>Contenu rédactionnel des 16 modules restants (2 validés)</t>
        </is>
      </c>
      <c r="D17" s="10" t="inlineStr">
        <is>
          <t>Les fiches suivent le gabarit avec un contenu provisoire</t>
        </is>
      </c>
      <c r="E17" s="22" t="inlineStr">
        <is>
          <t>Oui</t>
        </is>
      </c>
      <c r="F17" s="10" t="inlineStr">
        <is>
          <t>Client</t>
        </is>
      </c>
      <c r="G17" s="10" t="inlineStr">
        <is>
          <t>à arbitrer</t>
        </is>
      </c>
      <c r="H17" s="10" t="n"/>
    </row>
    <row r="18">
      <c r="A18" s="9" t="n">
        <v>14</v>
      </c>
      <c r="B18" s="10" t="inlineStr">
        <is>
          <t>Écart maquette</t>
        </is>
      </c>
      <c r="C18" s="10" t="inlineStr">
        <is>
          <t>Titres définitifs de 8 modules (la maquette n'en expose que 10 sur 18)</t>
        </is>
      </c>
      <c r="D18" s="10" t="inlineStr">
        <is>
          <t>8 titres ont été rédigés dans le même registre, à remplacer par ceux du cahier des charges</t>
        </is>
      </c>
      <c r="E18" s="24" t="inlineStr">
        <is>
          <t>Non</t>
        </is>
      </c>
      <c r="F18" s="10" t="inlineStr">
        <is>
          <t>Client</t>
        </is>
      </c>
      <c r="G18" s="10" t="inlineStr">
        <is>
          <t>immédiat</t>
        </is>
      </c>
      <c r="H18" s="10" t="n"/>
    </row>
    <row r="19">
      <c r="A19" s="9" t="n">
        <v>15</v>
      </c>
      <c r="B19" s="10" t="inlineStr">
        <is>
          <t>Écart maquette</t>
        </is>
      </c>
      <c r="C19" s="10" t="inlineStr">
        <is>
          <t>Répartition nominative des modules entre les 3 formateurs</t>
        </is>
      </c>
      <c r="D19" s="10" t="inlineStr">
        <is>
          <t>La maquette annonce 4 / 3 / 4 modules mais n'en attribue que 10 ; la répartition retenue est cohérente mais reste à valider</t>
        </is>
      </c>
      <c r="E19" s="24" t="inlineStr">
        <is>
          <t>Non</t>
        </is>
      </c>
      <c r="F19" s="10" t="inlineStr">
        <is>
          <t>Client</t>
        </is>
      </c>
      <c r="G19" s="10" t="inlineStr">
        <is>
          <t>immédiat</t>
        </is>
      </c>
      <c r="H19" s="10" t="n"/>
    </row>
    <row r="20">
      <c r="A20" s="9" t="n">
        <v>16</v>
      </c>
      <c r="B20" s="10" t="inlineStr">
        <is>
          <t>Sécurité</t>
        </is>
      </c>
      <c r="C20" s="10" t="inlineStr">
        <is>
          <t>Changer les mots de passe des comptes de démonstration</t>
        </is>
      </c>
      <c r="D20" s="10" t="inlineStr">
        <is>
          <t>Un mot de passe commun, connu, écrit dans le README et affiché sur l'écran de connexion</t>
        </is>
      </c>
      <c r="E20" s="22" t="inlineStr">
        <is>
          <t>Oui</t>
        </is>
      </c>
      <c r="F20" s="10" t="inlineStr">
        <is>
          <t>Développement</t>
        </is>
      </c>
      <c r="G20" s="10" t="inlineStr">
        <is>
          <t>immédiat</t>
        </is>
      </c>
      <c r="H20" s="10" t="n"/>
    </row>
    <row r="21">
      <c r="A21" s="9" t="n">
        <v>17</v>
      </c>
      <c r="B21" s="10" t="inlineStr">
        <is>
          <t>Sécurité</t>
        </is>
      </c>
      <c r="C21" s="10" t="inlineStr">
        <is>
          <t>Double vérification à la connexion apprenant (code 6 chiffres e-mail + WhatsApp)</t>
        </is>
      </c>
      <c r="D21" s="10" t="inlineStr">
        <is>
          <t>La table codes_verification existe, l'étape n'est pas activée — prévue par la maquette</t>
        </is>
      </c>
      <c r="E21" s="24" t="inlineStr">
        <is>
          <t>Non</t>
        </is>
      </c>
      <c r="F21" s="10" t="inlineStr">
        <is>
          <t>Développement (après prestataire d'envoi)</t>
        </is>
      </c>
      <c r="G21" s="10" t="inlineStr">
        <is>
          <t>2 jours</t>
        </is>
      </c>
      <c r="H21" s="10" t="n"/>
    </row>
    <row r="22">
      <c r="A22" s="9" t="n">
        <v>18</v>
      </c>
      <c r="B22" s="10" t="inlineStr">
        <is>
          <t>Développement</t>
        </is>
      </c>
      <c r="C22" s="10" t="inlineStr">
        <is>
          <t>Onglets détaillés de Performances (Funnel, Ventes, Visites, Clients)</t>
        </is>
      </c>
      <c r="D22" s="10" t="inlineStr">
        <is>
          <t>Les onglets existent mais attendent les données GA4</t>
        </is>
      </c>
      <c r="E22" s="24" t="inlineStr">
        <is>
          <t>Non</t>
        </is>
      </c>
      <c r="F22" s="10" t="inlineStr">
        <is>
          <t>Développement (après GA4)</t>
        </is>
      </c>
      <c r="G22" s="10" t="inlineStr">
        <is>
          <t>3 jours</t>
        </is>
      </c>
      <c r="H22" s="10" t="n"/>
    </row>
    <row r="23">
      <c r="A23" s="9" t="n">
        <v>19</v>
      </c>
      <c r="B23" s="10" t="inlineStr">
        <is>
          <t>Développement</t>
        </is>
      </c>
      <c r="C23" s="10" t="inlineStr">
        <is>
          <t>Pilote d'envoi réel dans server/utils/notifications.ts</t>
        </is>
      </c>
      <c r="D23" s="10" t="inlineStr">
        <is>
          <t>Tous les points d'appel sont en place, le pilote écrit en console</t>
        </is>
      </c>
      <c r="E23" s="22" t="inlineStr">
        <is>
          <t>Oui</t>
        </is>
      </c>
      <c r="F23" s="10" t="inlineStr">
        <is>
          <t>Développement (après prestataire)</t>
        </is>
      </c>
      <c r="G23" s="10" t="inlineStr">
        <is>
          <t>2 jours</t>
        </is>
      </c>
      <c r="H23" s="10" t="n"/>
    </row>
    <row r="24">
      <c r="A24" s="9" t="n">
        <v>20</v>
      </c>
      <c r="B24" s="10" t="inlineStr">
        <is>
          <t>Développement</t>
        </is>
      </c>
      <c r="C24" s="10" t="inlineStr">
        <is>
          <t>Webhook de retour FeexPay, idempotent et signé</t>
        </is>
      </c>
      <c r="D24" s="10" t="inlineStr">
        <is>
          <t>Aucun point d'entrée pour la notification du prestataire</t>
        </is>
      </c>
      <c r="E24" s="22" t="inlineStr">
        <is>
          <t>Oui</t>
        </is>
      </c>
      <c r="F24" s="10" t="inlineStr">
        <is>
          <t>Développement (après clés)</t>
        </is>
      </c>
      <c r="G24" s="10" t="inlineStr">
        <is>
          <t>compris dans l'intégration</t>
        </is>
      </c>
      <c r="H24" s="10" t="n"/>
    </row>
    <row r="25">
      <c r="A25" s="9" t="n">
        <v>21</v>
      </c>
      <c r="B25" s="10" t="inlineStr">
        <is>
          <t>Développement</t>
        </is>
      </c>
      <c r="C25" s="10" t="inlineStr">
        <is>
          <t>Rapprochement quotidien des transactions avec le relevé FeexPay</t>
        </is>
      </c>
      <c r="D25" s="10" t="inlineStr">
        <is>
          <t>Les transactions sont enregistrées côté plateforme sans confrontation au relevé du prestataire</t>
        </is>
      </c>
      <c r="E25" s="24" t="inlineStr">
        <is>
          <t>Non</t>
        </is>
      </c>
      <c r="F25" s="10" t="inlineStr">
        <is>
          <t>Développement</t>
        </is>
      </c>
      <c r="G25" s="10" t="inlineStr">
        <is>
          <t>3 jours</t>
        </is>
      </c>
      <c r="H25" s="10" t="n"/>
    </row>
    <row r="26">
      <c r="A26" s="9" t="n">
        <v>22</v>
      </c>
      <c r="B26" s="10" t="inlineStr">
        <is>
          <t>Développement</t>
        </is>
      </c>
      <c r="C26" s="10" t="inlineStr">
        <is>
          <t>Intégration du Zoom Meeting SDK dans /mon-espace/session/[id]</t>
        </is>
      </c>
      <c r="D26" s="10" t="inlineStr">
        <is>
          <t>L'écran annonce l'intégration à venir ; le lien de réunion est transmis à la main</t>
        </is>
      </c>
      <c r="E26" s="22" t="inlineStr">
        <is>
          <t>Oui</t>
        </is>
      </c>
      <c r="F26" s="10" t="inlineStr">
        <is>
          <t>Développement (après clés Zoom)</t>
        </is>
      </c>
      <c r="G26" s="10" t="inlineStr">
        <is>
          <t>3 à 5 jours</t>
        </is>
      </c>
      <c r="H26" s="10" t="n"/>
    </row>
    <row r="27">
      <c r="A27" s="9" t="n">
        <v>23</v>
      </c>
      <c r="B27" s="10" t="inlineStr">
        <is>
          <t>Développement</t>
        </is>
      </c>
      <c r="C27" s="10" t="inlineStr">
        <is>
          <t>Relevé PDF des revenus formateur</t>
        </is>
      </c>
      <c r="D27" s="10" t="inlineStr">
        <is>
          <t>Les chiffres sont à l'écran, l'export n'existe pas</t>
        </is>
      </c>
      <c r="E27" s="24" t="inlineStr">
        <is>
          <t>Non</t>
        </is>
      </c>
      <c r="F27" s="10" t="inlineStr">
        <is>
          <t>Développement</t>
        </is>
      </c>
      <c r="G27" s="10" t="inlineStr">
        <is>
          <t>1 jour</t>
        </is>
      </c>
      <c r="H27" s="10" t="n"/>
    </row>
    <row r="28">
      <c r="A28" s="9" t="n">
        <v>24</v>
      </c>
      <c r="B28" s="10" t="inlineStr">
        <is>
          <t>Développement</t>
        </is>
      </c>
      <c r="C28" s="10" t="inlineStr">
        <is>
          <t>Export de la liste des apprenants</t>
        </is>
      </c>
      <c r="D28" s="10" t="inlineStr">
        <is>
          <t>La liste est consultable, l'export n'existe pas</t>
        </is>
      </c>
      <c r="E28" s="24" t="inlineStr">
        <is>
          <t>Non</t>
        </is>
      </c>
      <c r="F28" s="10" t="inlineStr">
        <is>
          <t>Développement</t>
        </is>
      </c>
      <c r="G28" s="10" t="inlineStr">
        <is>
          <t>1 jour</t>
        </is>
      </c>
      <c r="H28" s="10" t="n"/>
    </row>
    <row r="29">
      <c r="A29" s="9" t="n">
        <v>25</v>
      </c>
      <c r="B29" s="10" t="inlineStr">
        <is>
          <t>Développement</t>
        </is>
      </c>
      <c r="C29" s="10" t="inlineStr">
        <is>
          <t>Réordonnancement des contenus par glisser-déposer</t>
        </is>
      </c>
      <c r="D29" s="10" t="inlineStr">
        <is>
          <t>L'ordre se règle par les positions saisies</t>
        </is>
      </c>
      <c r="E29" s="24" t="inlineStr">
        <is>
          <t>Non</t>
        </is>
      </c>
      <c r="F29" s="10" t="inlineStr">
        <is>
          <t>Développement</t>
        </is>
      </c>
      <c r="G29" s="10" t="inlineStr">
        <is>
          <t>1 jour</t>
        </is>
      </c>
      <c r="H29" s="10" t="n"/>
    </row>
    <row r="30">
      <c r="A30" s="9" t="n">
        <v>26</v>
      </c>
      <c r="B30" s="10" t="inlineStr">
        <is>
          <t>Exploitation</t>
        </is>
      </c>
      <c r="C30" s="10" t="inlineStr">
        <is>
          <t>Domaine de production, HTTPS et variables d'environnement de production</t>
        </is>
      </c>
      <c r="D30" s="10" t="inlineStr">
        <is>
          <t>La plateforme n'est pas encore exposée sur emasterclass.bigfive.ci</t>
        </is>
      </c>
      <c r="E30" s="22" t="inlineStr">
        <is>
          <t>Oui</t>
        </is>
      </c>
      <c r="F30" s="10" t="inlineStr">
        <is>
          <t>Client + développement</t>
        </is>
      </c>
      <c r="G30" s="10" t="inlineStr">
        <is>
          <t>1 jour</t>
        </is>
      </c>
      <c r="H30" s="10" t="n"/>
    </row>
    <row r="31">
      <c r="A31" s="9" t="n">
        <v>27</v>
      </c>
      <c r="B31" s="10" t="inlineStr">
        <is>
          <t>Exploitation</t>
        </is>
      </c>
      <c r="C31" s="10" t="inlineStr">
        <is>
          <t>Politique de sauvegarde et de restauration Supabase</t>
        </is>
      </c>
      <c r="D31" s="10" t="inlineStr">
        <is>
          <t>L'offre gratuite ne garantit ni sauvegarde ni restauration</t>
        </is>
      </c>
      <c r="E31" s="24" t="inlineStr">
        <is>
          <t>Non</t>
        </is>
      </c>
      <c r="F31" s="10" t="inlineStr">
        <is>
          <t>Client (arbitrage d'offre)</t>
        </is>
      </c>
      <c r="G31" s="10" t="inlineStr">
        <is>
          <t>immédiat</t>
        </is>
      </c>
      <c r="H31" s="10" t="n"/>
    </row>
    <row r="32">
      <c r="A32" s="9" t="n">
        <v>28</v>
      </c>
      <c r="B32" s="10" t="inlineStr">
        <is>
          <t>Recette</t>
        </is>
      </c>
      <c r="C32" s="10" t="inlineStr">
        <is>
          <t>Relevé de présence après chaque séance</t>
        </is>
      </c>
      <c r="D32" s="10" t="inlineStr">
        <is>
          <t>Sans ce relevé, les taux de présence affichés aux formateurs restent vides</t>
        </is>
      </c>
      <c r="E32" s="24" t="inlineStr">
        <is>
          <t>Non</t>
        </is>
      </c>
      <c r="F32" s="10" t="inlineStr">
        <is>
          <t>Équipe Big Five (exploitation)</t>
        </is>
      </c>
      <c r="G32" s="10" t="inlineStr">
        <is>
          <t>en continu</t>
        </is>
      </c>
      <c r="H32" s="10" t="n"/>
    </row>
    <row r="34">
      <c r="A34" s="3" t="inlineStr">
        <is>
          <t>Total des points manquants : 28, dont 14 bloquent l'ouverture au public.</t>
        </is>
      </c>
    </row>
  </sheetData>
  <autoFilter ref="A4:H32"/>
  <printOptions horizontalCentered="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4" customWidth="1" min="3" max="3"/>
    <col width="40" customWidth="1" min="4" max="4"/>
    <col width="46" customWidth="1" min="5" max="5"/>
    <col width="24" customWidth="1" min="6" max="6"/>
    <col width="14" customWidth="1" min="7" max="7"/>
    <col width="18" customWidth="1" min="8" max="8"/>
  </cols>
  <sheetData>
    <row r="1">
      <c r="A1" s="19" t="inlineStr">
        <is>
          <t>Paiement — informations FeexPay à fournir</t>
        </is>
      </c>
    </row>
    <row r="2">
      <c r="A2" s="2" t="inlineStr">
        <is>
          <t>Poste le plus bloquant du projet. À ce jour aucune information de paiement n'a été transmise : aucune variable FEEXPAY_* n'existe dans la configuration, et l'échange avec le prestataire est simulé dans server/api/commandes.post.ts.</t>
        </is>
      </c>
    </row>
    <row r="4" ht="30" customHeight="1">
      <c r="A4" s="7" t="inlineStr">
        <is>
          <t>N°</t>
        </is>
      </c>
      <c r="B4" s="7" t="inlineStr">
        <is>
          <t>Information à fournir</t>
        </is>
      </c>
      <c r="C4" s="7" t="inlineStr">
        <is>
          <t>Détail attendu</t>
        </is>
      </c>
      <c r="D4" s="7" t="inlineStr">
        <is>
          <t>Où elle sera utilisée</t>
        </is>
      </c>
      <c r="E4" s="7" t="inlineStr">
        <is>
          <t>Ce qui se passe sans elle</t>
        </is>
      </c>
      <c r="F4" s="7" t="inlineStr">
        <is>
          <t>Fournie par</t>
        </is>
      </c>
      <c r="G4" s="7" t="inlineStr">
        <is>
          <t>Statut</t>
        </is>
      </c>
      <c r="H4" s="7" t="inlineStr">
        <is>
          <t>Date de réception</t>
        </is>
      </c>
    </row>
    <row r="5">
      <c r="A5" s="9" t="n">
        <v>1</v>
      </c>
      <c r="B5" s="25" t="inlineStr">
        <is>
          <t>Compte marchand FeexPay</t>
        </is>
      </c>
      <c r="C5" s="10" t="inlineStr">
        <is>
          <t>Ouverture au nom de BigFiveAbidjan SARL : RCCM, déclaration fiscale d'existence, pièce d'identité du gérant, justificatif d'adresse</t>
        </is>
      </c>
      <c r="D5" s="10" t="inlineStr">
        <is>
          <t>Contrat — préalable à toute clé</t>
        </is>
      </c>
      <c r="E5" s="10" t="inlineStr">
        <is>
          <t>Rien ne peut être encaissé</t>
        </is>
      </c>
      <c r="F5" s="10" t="inlineStr">
        <is>
          <t>Client</t>
        </is>
      </c>
      <c r="G5" s="22" t="inlineStr">
        <is>
          <t>À fournir</t>
        </is>
      </c>
      <c r="H5" s="10" t="n"/>
    </row>
    <row r="6">
      <c r="A6" s="9" t="n">
        <v>2</v>
      </c>
      <c r="B6" s="25" t="inlineStr">
        <is>
          <t>Compte de règlement</t>
        </is>
      </c>
      <c r="C6" s="10" t="inlineStr">
        <is>
          <t>Coordonnées du compte qui reçoit les reversements : bancaire (RIB) ou Mobile Money marchand</t>
        </is>
      </c>
      <c r="D6" s="10" t="inlineStr">
        <is>
          <t>Contrat FeexPay</t>
        </is>
      </c>
      <c r="E6" s="10" t="inlineStr">
        <is>
          <t>Les fonds encaissés ne peuvent pas être reversés</t>
        </is>
      </c>
      <c r="F6" s="10" t="inlineStr">
        <is>
          <t>Client</t>
        </is>
      </c>
      <c r="G6" s="22" t="inlineStr">
        <is>
          <t>À fournir</t>
        </is>
      </c>
      <c r="H6" s="10" t="n"/>
    </row>
    <row r="7">
      <c r="A7" s="9" t="n">
        <v>3</v>
      </c>
      <c r="B7" s="25" t="inlineStr">
        <is>
          <t>Identifiant de boutique (shop / merchant ID)</t>
        </is>
      </c>
      <c r="C7" s="10" t="inlineStr">
        <is>
          <t>Chaîne fournie par FeexPay à la création de la boutique</t>
        </is>
      </c>
      <c r="D7" s="10" t="inlineStr">
        <is>
          <t>Variable d'environnement à créer : FEEXPAY_SHOP_ID</t>
        </is>
      </c>
      <c r="E7" s="10" t="inlineStr">
        <is>
          <t>Aucun appel d'API possible</t>
        </is>
      </c>
      <c r="F7" s="10" t="inlineStr">
        <is>
          <t>Client (console FeexPay)</t>
        </is>
      </c>
      <c r="G7" s="22" t="inlineStr">
        <is>
          <t>À fournir</t>
        </is>
      </c>
      <c r="H7" s="10" t="n"/>
    </row>
    <row r="8">
      <c r="A8" s="9" t="n">
        <v>4</v>
      </c>
      <c r="B8" s="25" t="inlineStr">
        <is>
          <t>Clé d'API — environnement de test</t>
        </is>
      </c>
      <c r="C8" s="10" t="inlineStr">
        <is>
          <t>Token sandbox, à utiliser pendant toute la recette</t>
        </is>
      </c>
      <c r="D8" s="10" t="inlineStr">
        <is>
          <t>FEEXPAY_API_KEY avec FEEXPAY_MODE=sandbox</t>
        </is>
      </c>
      <c r="E8" s="10" t="inlineStr">
        <is>
          <t>Impossible de recetter le paiement sans mouvementer de l'argent réel</t>
        </is>
      </c>
      <c r="F8" s="10" t="inlineStr">
        <is>
          <t>Client (console FeexPay)</t>
        </is>
      </c>
      <c r="G8" s="22" t="inlineStr">
        <is>
          <t>À fournir</t>
        </is>
      </c>
      <c r="H8" s="10" t="n"/>
    </row>
    <row r="9">
      <c r="A9" s="9" t="n">
        <v>5</v>
      </c>
      <c r="B9" s="25" t="inlineStr">
        <is>
          <t>Clé d'API — production</t>
        </is>
      </c>
      <c r="C9" s="10" t="inlineStr">
        <is>
          <t>Token live, transmis séparément et jamais par e-mail en clair</t>
        </is>
      </c>
      <c r="D9" s="10" t="inlineStr">
        <is>
          <t>FEEXPAY_API_KEY avec FEEXPAY_MODE=live, posée sur le serveur de production uniquement</t>
        </is>
      </c>
      <c r="E9" s="10" t="inlineStr">
        <is>
          <t>Pas de mise en production de l'encaissement</t>
        </is>
      </c>
      <c r="F9" s="10" t="inlineStr">
        <is>
          <t>Client (console FeexPay)</t>
        </is>
      </c>
      <c r="G9" s="22" t="inlineStr">
        <is>
          <t>À fournir</t>
        </is>
      </c>
      <c r="H9" s="10" t="n"/>
    </row>
    <row r="10">
      <c r="A10" s="9" t="n">
        <v>6</v>
      </c>
      <c r="B10" s="25" t="inlineStr">
        <is>
          <t>Clé de signature du retour (webhook secret)</t>
        </is>
      </c>
      <c r="C10" s="10" t="inlineStr">
        <is>
          <t>Secret partagé permettant de vérifier que la notification vient bien de FeexPay</t>
        </is>
      </c>
      <c r="D10" s="10" t="inlineStr">
        <is>
          <t>FEEXPAY_WEBHOOK_SECRET</t>
        </is>
      </c>
      <c r="E10" s="10" t="inlineStr">
        <is>
          <t>Un tiers pourrait déclarer un paiement réussi : faille d'accès gratuit aux modules</t>
        </is>
      </c>
      <c r="F10" s="10" t="inlineStr">
        <is>
          <t>Client (console FeexPay)</t>
        </is>
      </c>
      <c r="G10" s="22" t="inlineStr">
        <is>
          <t>À fournir</t>
        </is>
      </c>
      <c r="H10" s="10" t="n"/>
    </row>
    <row r="11">
      <c r="A11" s="9" t="n">
        <v>7</v>
      </c>
      <c r="B11" s="25" t="inlineStr">
        <is>
          <t>URL de retour (callback / webhook)</t>
        </is>
      </c>
      <c r="C11" s="10" t="inlineStr">
        <is>
          <t>À déclarer dans la console FeexPay : https://emasterclass.bigfive.ci/api/paiements/feexpay/retour (endpoint à créer)</t>
        </is>
      </c>
      <c r="D11" s="10" t="inlineStr">
        <is>
          <t>Console FeexPay + développement</t>
        </is>
      </c>
      <c r="E11" s="10" t="inlineStr">
        <is>
          <t>La plateforme n'apprend jamais qu'un paiement a abouti</t>
        </is>
      </c>
      <c r="F11" s="10" t="inlineStr">
        <is>
          <t>Client déclare, développement fournit l'URL</t>
        </is>
      </c>
      <c r="G11" s="24" t="inlineStr">
        <is>
          <t>À déclarer</t>
        </is>
      </c>
      <c r="H11" s="10" t="n"/>
    </row>
    <row r="12">
      <c r="A12" s="9" t="n">
        <v>8</v>
      </c>
      <c r="B12" s="25" t="inlineStr">
        <is>
          <t>URL de redirection de l'acheteur</t>
        </is>
      </c>
      <c r="C12" s="10" t="inlineStr">
        <is>
          <t>Pages de retour succès et échec : /achat/paiement (succès et échec déjà gérés côté écran)</t>
        </is>
      </c>
      <c r="D12" s="10" t="inlineStr">
        <is>
          <t>Console FeexPay</t>
        </is>
      </c>
      <c r="E12" s="10" t="inlineStr">
        <is>
          <t>L'acheteur reste bloqué sur la page du prestataire</t>
        </is>
      </c>
      <c r="F12" s="10" t="inlineStr">
        <is>
          <t>Client déclare</t>
        </is>
      </c>
      <c r="G12" s="24" t="inlineStr">
        <is>
          <t>À déclarer</t>
        </is>
      </c>
      <c r="H12" s="10" t="n"/>
    </row>
    <row r="13">
      <c r="A13" s="9" t="n">
        <v>9</v>
      </c>
      <c r="B13" s="25" t="inlineStr">
        <is>
          <t>Liste blanche d'adresses IP ou de domaines</t>
        </is>
      </c>
      <c r="C13" s="10" t="inlineStr">
        <is>
          <t>Si FeexPay la propose : IP sortante du serveur de production et domaine appelant</t>
        </is>
      </c>
      <c r="D13" s="10" t="inlineStr">
        <is>
          <t>Console FeexPay</t>
        </is>
      </c>
      <c r="E13" s="10" t="inlineStr">
        <is>
          <t>Les appels d'API sont rejetés en production</t>
        </is>
      </c>
      <c r="F13" s="10" t="inlineStr">
        <is>
          <t>Client + développement</t>
        </is>
      </c>
      <c r="G13" s="24" t="inlineStr">
        <is>
          <t>À vérifier</t>
        </is>
      </c>
      <c r="H13" s="10" t="n"/>
    </row>
    <row r="14">
      <c r="A14" s="9" t="n">
        <v>10</v>
      </c>
      <c r="B14" s="25" t="inlineStr">
        <is>
          <t>Moyens de paiement réellement activés</t>
        </is>
      </c>
      <c r="C14" s="10" t="inlineStr">
        <is>
          <t>Confirmer lesquels sont ouverts sur le compte : Orange Money, MTN Money, Moov Money, Wave, Djamo, Visa / Mastercard</t>
        </is>
      </c>
      <c r="D14" s="10" t="inlineStr">
        <is>
          <t>Écran /achat/paiement — le tunnel propose aujourd'hui Mobile Money, Wave, Djamo et Visa</t>
        </is>
      </c>
      <c r="E14" s="10" t="inlineStr">
        <is>
          <t>Le tunnel proposerait un moyen que le compte refuse</t>
        </is>
      </c>
      <c r="F14" s="10" t="inlineStr">
        <is>
          <t>Client</t>
        </is>
      </c>
      <c r="G14" s="24" t="inlineStr">
        <is>
          <t>À confirmer</t>
        </is>
      </c>
      <c r="H14" s="10" t="n"/>
    </row>
    <row r="15">
      <c r="A15" s="9" t="n">
        <v>11</v>
      </c>
      <c r="B15" s="25" t="inlineStr">
        <is>
          <t>Taux de commission contractuel</t>
        </is>
      </c>
      <c r="C15" s="10" t="inlineStr">
        <is>
          <t>Pourcentage réellement facturé par FeexPay, et s'il diffère selon le moyen de paiement</t>
        </is>
      </c>
      <c r="D15" s="10" t="inlineStr">
        <is>
          <t>/admin/parametres — champ « Frais de paiement FeexPay (%) », réglé à 4 % par défaut</t>
        </is>
      </c>
      <c r="E15" s="10" t="inlineStr">
        <is>
          <t>Les revenus formateurs (CA − frais, puis 30 / 70) sont calculés sur une hypothèse</t>
        </is>
      </c>
      <c r="F15" s="10" t="inlineStr">
        <is>
          <t>Client (contrat)</t>
        </is>
      </c>
      <c r="G15" s="24" t="inlineStr">
        <is>
          <t>À confirmer</t>
        </is>
      </c>
      <c r="H15" s="10" t="n"/>
    </row>
    <row r="16">
      <c r="A16" s="9" t="n">
        <v>12</v>
      </c>
      <c r="B16" s="25" t="inlineStr">
        <is>
          <t>Frais fixes éventuels par transaction</t>
        </is>
      </c>
      <c r="C16" s="10" t="inlineStr">
        <is>
          <t>Montant fixe s'ajoutant au pourcentage, le cas échéant</t>
        </is>
      </c>
      <c r="D16" s="10" t="inlineStr">
        <is>
          <t>Calcul des revenus — server/utils/formateur.ts</t>
        </is>
      </c>
      <c r="E16" s="10" t="inlineStr">
        <is>
          <t>Écart entre les revenus affichés et les sommes réellement reçues</t>
        </is>
      </c>
      <c r="F16" s="10" t="inlineStr">
        <is>
          <t>Client (contrat)</t>
        </is>
      </c>
      <c r="G16" s="24" t="inlineStr">
        <is>
          <t>À confirmer</t>
        </is>
      </c>
      <c r="H16" s="10" t="n"/>
    </row>
    <row r="17">
      <c r="A17" s="9" t="n">
        <v>13</v>
      </c>
      <c r="B17" s="25" t="inlineStr">
        <is>
          <t>Devise et plafonds</t>
        </is>
      </c>
      <c r="C17" s="10" t="inlineStr">
        <is>
          <t>Devise de règlement (XOF), montant minimum et maximum par transaction, plafond journalier</t>
        </is>
      </c>
      <c r="D17" s="10" t="inlineStr">
        <is>
          <t>Contrôles du tunnel d'achat</t>
        </is>
      </c>
      <c r="E17" s="10" t="inlineStr">
        <is>
          <t>Un achat pourrait échouer sans message compréhensible</t>
        </is>
      </c>
      <c r="F17" s="10" t="inlineStr">
        <is>
          <t>Client (contrat)</t>
        </is>
      </c>
      <c r="G17" s="24" t="inlineStr">
        <is>
          <t>À confirmer</t>
        </is>
      </c>
      <c r="H17" s="10" t="n"/>
    </row>
    <row r="18">
      <c r="A18" s="9" t="n">
        <v>14</v>
      </c>
      <c r="B18" s="25" t="inlineStr">
        <is>
          <t>Périodicité de reversement</t>
        </is>
      </c>
      <c r="C18" s="10" t="inlineStr">
        <is>
          <t>Délai entre l'encaissement et le versement sur le compte de règlement (J+1, hebdomadaire…)</t>
        </is>
      </c>
      <c r="D18" s="10" t="inlineStr">
        <is>
          <t>Trésorerie et écran /admin/revenus</t>
        </is>
      </c>
      <c r="E18" s="10" t="inlineStr">
        <is>
          <t>Impossible d'annoncer une date de paiement aux formateurs</t>
        </is>
      </c>
      <c r="F18" s="10" t="inlineStr">
        <is>
          <t>Client (contrat)</t>
        </is>
      </c>
      <c r="G18" s="24" t="inlineStr">
        <is>
          <t>À confirmer</t>
        </is>
      </c>
      <c r="H18" s="10" t="n"/>
    </row>
    <row r="19">
      <c r="A19" s="9" t="n">
        <v>15</v>
      </c>
      <c r="B19" s="25" t="inlineStr">
        <is>
          <t>Jeu de test du prestataire</t>
        </is>
      </c>
      <c r="C19" s="10" t="inlineStr">
        <is>
          <t>Numéros de test, codes OTP de test et scénarios d'échec fournis par FeexPay</t>
        </is>
      </c>
      <c r="D19" s="10" t="inlineStr">
        <is>
          <t>Recette du tunnel d'achat</t>
        </is>
      </c>
      <c r="E19" s="10" t="inlineStr">
        <is>
          <t>Les 6 motifs d'échec ne peuvent être recettés que sur simulation</t>
        </is>
      </c>
      <c r="F19" s="10" t="inlineStr">
        <is>
          <t>Client (support FeexPay)</t>
        </is>
      </c>
      <c r="G19" s="22" t="inlineStr">
        <is>
          <t>À fournir</t>
        </is>
      </c>
      <c r="H19" s="10" t="n"/>
    </row>
    <row r="20">
      <c r="A20" s="9" t="n">
        <v>16</v>
      </c>
      <c r="B20" s="25" t="inlineStr">
        <is>
          <t>Documentation d'API à jour</t>
        </is>
      </c>
      <c r="C20" s="10" t="inlineStr">
        <is>
          <t>Version de l'API, spécification des appels et format exact de la notification de retour</t>
        </is>
      </c>
      <c r="D20" s="10" t="inlineStr">
        <is>
          <t>Développement de l'intégration</t>
        </is>
      </c>
      <c r="E20" s="10" t="inlineStr">
        <is>
          <t>Intégration à l'aveugle, risque de reprise</t>
        </is>
      </c>
      <c r="F20" s="10" t="inlineStr">
        <is>
          <t>Client (support FeexPay)</t>
        </is>
      </c>
      <c r="G20" s="22" t="inlineStr">
        <is>
          <t>À fournir</t>
        </is>
      </c>
      <c r="H20" s="10" t="n"/>
    </row>
    <row r="21">
      <c r="A21" s="9" t="n">
        <v>17</v>
      </c>
      <c r="B21" s="25" t="inlineStr">
        <is>
          <t>Contact technique FeexPay</t>
        </is>
      </c>
      <c r="C21" s="10" t="inlineStr">
        <is>
          <t>Nom, e-mail et téléphone d'un interlocuteur technique chez le prestataire</t>
        </is>
      </c>
      <c r="D21" s="10" t="inlineStr">
        <is>
          <t>Suivi de l'intégration et incidents de production</t>
        </is>
      </c>
      <c r="E21" s="10" t="inlineStr">
        <is>
          <t>Aucun recours en cas de blocage ou d'incident d'encaissement</t>
        </is>
      </c>
      <c r="F21" s="10" t="inlineStr">
        <is>
          <t>Client</t>
        </is>
      </c>
      <c r="G21" s="22" t="inlineStr">
        <is>
          <t>À fournir</t>
        </is>
      </c>
      <c r="H21" s="10" t="n"/>
    </row>
    <row r="22">
      <c r="A22" s="9" t="n">
        <v>18</v>
      </c>
      <c r="B22" s="25" t="inlineStr">
        <is>
          <t>Politique de remboursement</t>
        </is>
      </c>
      <c r="C22" s="10" t="inlineStr">
        <is>
          <t>Procédure de remboursement ou d'annulation d'une transaction, et qui la déclenche</t>
        </is>
      </c>
      <c r="D22" s="10" t="inlineStr">
        <is>
          <t>Procédure d'exploitation + écran /admin/transactions</t>
        </is>
      </c>
      <c r="E22" s="10" t="inlineStr">
        <is>
          <t>Aucune conduite à tenir face à une réclamation d'apprenant</t>
        </is>
      </c>
      <c r="F22" s="10" t="inlineStr">
        <is>
          <t>Client</t>
        </is>
      </c>
      <c r="G22" s="24" t="inlineStr">
        <is>
          <t>À arbitrer</t>
        </is>
      </c>
      <c r="H22" s="10" t="n"/>
    </row>
    <row r="23">
      <c r="A23" s="9" t="n">
        <v>19</v>
      </c>
      <c r="B23" s="25" t="inlineStr">
        <is>
          <t>Facture et mentions légales de vente</t>
        </is>
      </c>
      <c r="C23" s="10" t="inlineStr">
        <is>
          <t>Modèle de facture, mentions TVA, conditions de vente à afficher au récapitulatif</t>
        </is>
      </c>
      <c r="D23" s="10" t="inlineStr">
        <is>
          <t>/achat/recapitulatif et CGV</t>
        </is>
      </c>
      <c r="E23" s="10" t="inlineStr">
        <is>
          <t>Vente en ligne sans document comptable conforme</t>
        </is>
      </c>
      <c r="F23" s="10" t="inlineStr">
        <is>
          <t>Client</t>
        </is>
      </c>
      <c r="G23" s="22" t="inlineStr">
        <is>
          <t>À fournir</t>
        </is>
      </c>
      <c r="H23" s="10" t="n"/>
    </row>
    <row r="25">
      <c r="A25" s="5" t="inlineStr">
        <is>
          <t>Ce qui est déjà en place côté plateforme</t>
        </is>
      </c>
    </row>
    <row r="26" ht="26" customHeight="1">
      <c r="A26" s="4" t="inlineStr">
        <is>
          <t>• Le tunnel d'achat complet : compte, récapitulatif, choix du moyen de paiement (Mobile Money, Wave, Djamo, Visa).</t>
        </is>
      </c>
    </row>
    <row r="27" ht="26" customHeight="1">
      <c r="A27" s="4" t="inlineStr">
        <is>
          <t>• L'enregistrement de la commande, de la transaction et l'ouverture des accès en une seule opération.</t>
        </is>
      </c>
    </row>
    <row r="28" ht="26" customHeight="1">
      <c r="A28" s="4" t="inlineStr">
        <is>
          <t>• Les six motifs d'échec du prestataire (solde insuffisant, annulation, délai dépassé, réseau opérateur, carte refusée, erreur inconnue), tracés et filtrables dans /admin/transactions.</t>
        </is>
      </c>
    </row>
    <row r="29" ht="26" customHeight="1">
      <c r="A29" s="4" t="inlineStr">
        <is>
          <t>• Le taux de frais FeexPay paramétrable dans /admin/parametres, utilisé par le calcul des revenus formateurs (CA − frais, puis 30 % formateur / 70 % Big Five).</t>
        </is>
      </c>
    </row>
    <row r="31">
      <c r="A31" s="5" t="inlineStr">
        <is>
          <t>Ce qui reste à développer une fois les clés reçues</t>
        </is>
      </c>
    </row>
    <row r="32" ht="26" customHeight="1">
      <c r="A32" s="4" t="inlineStr">
        <is>
          <t>• L'appel réel à l'API FeexPay au lieu de l'échange simulé, et la redirection de l'acheteur.</t>
        </is>
      </c>
    </row>
    <row r="33" ht="26" customHeight="1">
      <c r="A33" s="4" t="inlineStr">
        <is>
          <t>• L'endpoint public de retour (webhook), vérifié par signature et idempotent — un même paiement notifié deux fois ne doit ouvrir l'accès qu'une fois.</t>
        </is>
      </c>
    </row>
    <row r="34" ht="26" customHeight="1">
      <c r="A34" s="4" t="inlineStr">
        <is>
          <t>• Le rapprochement quotidien entre les transactions de la plateforme et le relevé du prestataire.</t>
        </is>
      </c>
    </row>
    <row r="35" ht="26" customHeight="1">
      <c r="A35" s="4" t="inlineStr">
        <is>
          <t>• La recette du tunnel sur l'environnement de test du prestataire, avec les six motifs d'échec réels.</t>
        </is>
      </c>
    </row>
    <row r="37" ht="30" customHeight="1">
      <c r="A37" s="26" t="inlineStr">
        <is>
          <t>Transmission des clés : les clés de production ne doivent jamais circuler par e-mail en clair. Les déposer directement dans les variables d'environnement du serveur de production, ou les transmettre par un canal chiffré à usage unique.</t>
        </is>
      </c>
    </row>
  </sheetData>
  <autoFilter ref="A4:H23"/>
  <mergeCells count="9">
    <mergeCell ref="A33:F33"/>
    <mergeCell ref="A28:F28"/>
    <mergeCell ref="A37:F37"/>
    <mergeCell ref="A32:F32"/>
    <mergeCell ref="A27:F27"/>
    <mergeCell ref="A34:F34"/>
    <mergeCell ref="A35:F35"/>
    <mergeCell ref="A26:F26"/>
    <mergeCell ref="A29:F29"/>
  </mergeCells>
  <printOptions horizontalCentered="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50" customWidth="1" min="3" max="3"/>
    <col width="26" customWidth="1" min="4" max="4"/>
    <col width="56" customWidth="1" min="5" max="5"/>
  </cols>
  <sheetData>
    <row r="1">
      <c r="A1" s="19" t="inlineStr">
        <is>
          <t>Comptes prestataires et clés</t>
        </is>
      </c>
    </row>
    <row r="2">
      <c r="A2" s="2" t="inlineStr">
        <is>
          <t>Ce qui est déjà en service, et ce qui manque. Le détail du paiement est dans l'onglet « Paiement — FeexPay ».</t>
        </is>
      </c>
    </row>
    <row r="4" ht="30" customHeight="1">
      <c r="A4" s="7" t="inlineStr">
        <is>
          <t>Prestataire / compte</t>
        </is>
      </c>
      <c r="B4" s="7" t="inlineStr">
        <is>
          <t>Ce qu'il faut ouvrir ou fournir</t>
        </is>
      </c>
      <c r="C4" s="7" t="inlineStr">
        <is>
          <t>Où cela se règle</t>
        </is>
      </c>
      <c r="D4" s="7" t="inlineStr">
        <is>
          <t>Statut</t>
        </is>
      </c>
      <c r="E4" s="7" t="inlineStr">
        <is>
          <t>Remarque</t>
        </is>
      </c>
    </row>
    <row r="5">
      <c r="A5" s="25" t="inlineStr">
        <is>
          <t>Supabase (base de données)</t>
        </is>
      </c>
      <c r="B5" s="10" t="inlineStr">
        <is>
          <t>Projet hébergé, URL et clé secrète sb_secret_…</t>
        </is>
      </c>
      <c r="C5" s="10" t="inlineStr">
        <is>
          <t>SUPABASE_URL, SUPABASE_SECRET_KEY</t>
        </is>
      </c>
      <c r="D5" s="20" t="inlineStr">
        <is>
          <t>Fourni — en service</t>
        </is>
      </c>
      <c r="E5" s="10" t="inlineStr">
        <is>
          <t>Migrations 01 à 05 appliquées et vérifiées le 02/09</t>
        </is>
      </c>
    </row>
    <row r="6">
      <c r="A6" s="25" t="inlineStr">
        <is>
          <t>Cloudflare R2 + Worker (vidéo)</t>
        </is>
      </c>
      <c r="B6" s="10" t="inlineStr">
        <is>
          <t>Bucket, Worker déployé, secret de signature partagé</t>
        </is>
      </c>
      <c r="C6" s="10" t="inlineStr">
        <is>
          <t>VIDEO_BASE_URL, VIDEO_SIGNING_SECRET</t>
        </is>
      </c>
      <c r="D6" s="20" t="inlineStr">
        <is>
          <t>Fourni — en service</t>
        </is>
      </c>
      <c r="E6" s="10" t="inlineStr">
        <is>
          <t>Vérifié le 02/09 : les démonstrations se lisent depuis le CDN, le cloisonnement des chapitres tient</t>
        </is>
      </c>
    </row>
    <row r="7">
      <c r="A7" s="25" t="inlineStr">
        <is>
          <t>Envoi d'e-mails transactionnels</t>
        </is>
      </c>
      <c r="B7" s="10" t="inlineStr">
        <is>
          <t>Compte Brevo, Resend, Postmark ou SMTP de l'hébergeur + SPF, DKIM, DMARC sur bigfive.ci</t>
        </is>
      </c>
      <c r="C7" s="10" t="inlineStr">
        <is>
          <t>NOTIFICATIONS_DRIVER, SMTP_HOST, SMTP_USER, SMTP_PASS, SMTP_EXPEDITEUR</t>
        </is>
      </c>
      <c r="D7" s="21" t="inlineStr">
        <is>
          <t>À fournir — bloquant</t>
        </is>
      </c>
      <c r="E7" s="10" t="inlineStr">
        <is>
          <t>Débloque réinitialisation, confirmation d'achat, envoi d'attestation, avis d'annulation</t>
        </is>
      </c>
    </row>
    <row r="8">
      <c r="A8" s="25" t="inlineStr">
        <is>
          <t>Supabase Auth — SMTP personnalisé</t>
        </is>
      </c>
      <c r="B8" s="10" t="inlineStr">
        <is>
          <t>Le même compte SMTP, plus un jeton d'accès personnel Supabase</t>
        </is>
      </c>
      <c r="C8" s="10" t="inlineStr">
        <is>
          <t>SUPABASE_ACCESS_TOKEN puis npm run auth:configurer, CODE_ADMIN_FOURNISSEUR=supabase-auth</t>
        </is>
      </c>
      <c r="D8" s="21" t="inlineStr">
        <is>
          <t>À fournir — bloquant</t>
        </is>
      </c>
      <c r="E8" s="10" t="inlineStr">
        <is>
          <t>Sans lui, le code de /admin/login reste écrit dans la sortie du serveur</t>
        </is>
      </c>
    </row>
    <row r="9">
      <c r="A9" s="25" t="inlineStr">
        <is>
          <t>FeexPay (encaissement)</t>
        </is>
      </c>
      <c r="B9" s="10" t="inlineStr">
        <is>
          <t>Voir l'onglet « Paiement — FeexPay » : compte marchand, clés test et production, secret de webhook, URL de retour</t>
        </is>
      </c>
      <c r="C9" s="10" t="inlineStr">
        <is>
          <t>Variables à créer : FEEXPAY_SHOP_ID, FEEXPAY_API_KEY, FEEXPAY_MODE, FEEXPAY_WEBHOOK_SECRET</t>
        </is>
      </c>
      <c r="D9" s="21" t="inlineStr">
        <is>
          <t>À fournir — bloquant</t>
        </is>
      </c>
      <c r="E9" s="10" t="inlineStr">
        <is>
          <t>Aucune variable FeexPay n'existe à ce jour dans la configuration : l'intégration reste entièrement à faire</t>
        </is>
      </c>
    </row>
    <row r="10">
      <c r="A10" s="25" t="inlineStr">
        <is>
          <t>Zoom (coaching collectif)</t>
        </is>
      </c>
      <c r="B10" s="10" t="inlineStr">
        <is>
          <t>Compte Zoom Pro et application « Meeting SDK »</t>
        </is>
      </c>
      <c r="C10" s="10" t="inlineStr">
        <is>
          <t>SDK Key et SDK Secret (variables à créer)</t>
        </is>
      </c>
      <c r="D10" s="21" t="inlineStr">
        <is>
          <t>À fournir — bloquant</t>
        </is>
      </c>
      <c r="E10" s="10" t="inlineStr">
        <is>
          <t>En attendant, l'équipe crée la réunion à la main et transmet le lien</t>
        </is>
      </c>
    </row>
    <row r="11">
      <c r="A11" s="25" t="inlineStr">
        <is>
          <t>WhatsApp Business (notifications)</t>
        </is>
      </c>
      <c r="B11" s="10" t="inlineStr">
        <is>
          <t>Accès Meta direct ou via 360dialog / Twilio / Vonage, numéro vérifié, modèles validés</t>
        </is>
      </c>
      <c r="C11" s="10" t="inlineStr">
        <is>
          <t>Identifiants du numéro et du compte, jeton permanent</t>
        </is>
      </c>
      <c r="D11" s="23" t="inlineStr">
        <is>
          <t>À fournir</t>
        </is>
      </c>
      <c r="E11" s="10" t="inlineStr">
        <is>
          <t>Meta met 1 à 2 semaines à valider les modèles — à lancer tôt</t>
        </is>
      </c>
    </row>
    <row r="12">
      <c r="A12" s="25" t="inlineStr">
        <is>
          <t>Google Analytics 4 et Search Console</t>
        </is>
      </c>
      <c r="B12" s="10" t="inlineStr">
        <is>
          <t>Propriété GA4, conteneur GTM, domaine vérifié</t>
        </is>
      </c>
      <c r="C12" s="10" t="inlineStr">
        <is>
          <t>Saisie dans /admin/tracking, écran déjà prêt</t>
        </is>
      </c>
      <c r="D12" s="23" t="inlineStr">
        <is>
          <t>À fournir</t>
        </is>
      </c>
      <c r="E12" s="10" t="inlineStr">
        <is>
          <t>Débloque les six indicateurs à « — » de /admin/performances</t>
        </is>
      </c>
    </row>
    <row r="13">
      <c r="A13" s="25" t="inlineStr">
        <is>
          <t>Domaine et hébergement de production</t>
        </is>
      </c>
      <c r="B13" s="10" t="inlineStr">
        <is>
          <t>emasterclass.bigfive.ci pointé, certificat HTTPS, variables d'environnement posées</t>
        </is>
      </c>
      <c r="C13" s="10" t="inlineStr">
        <is>
          <t>NUXT_PUBLIC_SITE_URL, NUXT_SESSION_PASSWORD</t>
        </is>
      </c>
      <c r="D13" s="21" t="inlineStr">
        <is>
          <t>À fournir — bloquant</t>
        </is>
      </c>
      <c r="E13" s="10" t="inlineStr">
        <is>
          <t>NUXT_PUBLIC_SITE_URL alimente les canonical, le sitemap et le lien de vérification des attestations</t>
        </is>
      </c>
    </row>
  </sheetData>
  <printOptions horizontalCentered="0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62" customWidth="1" min="3" max="3"/>
    <col width="22" customWidth="1" min="4" max="4"/>
    <col width="40" customWidth="1" min="5" max="5"/>
    <col width="16" customWidth="1" min="6" max="6"/>
  </cols>
  <sheetData>
    <row r="1">
      <c r="A1" s="19" t="inlineStr">
        <is>
          <t>Conformité aux spécifications SEO</t>
        </is>
      </c>
    </row>
    <row r="2">
      <c r="A2" s="2" t="inlineStr">
        <is>
          <t>Reprise du document « Spécifications SEO développeur » transmis avec l'e-mail de lancement (maquettes/specifications/03_Specifications_SEO.md).</t>
        </is>
      </c>
    </row>
    <row r="4" ht="30" customHeight="1">
      <c r="A4" s="7" t="inlineStr">
        <is>
          <t>Point de la spéc.</t>
        </is>
      </c>
      <c r="B4" s="7" t="inlineStr">
        <is>
          <t>Exigence</t>
        </is>
      </c>
      <c r="C4" s="7" t="inlineStr">
        <is>
          <t>Où c'est implémenté</t>
        </is>
      </c>
      <c r="D4" s="7" t="inlineStr">
        <is>
          <t>État</t>
        </is>
      </c>
      <c r="E4" s="7" t="inlineStr">
        <is>
          <t>Réserve</t>
        </is>
      </c>
      <c r="F4" s="7" t="inlineStr">
        <is>
          <t>Verdict recette</t>
        </is>
      </c>
    </row>
    <row r="5">
      <c r="A5" s="9" t="inlineStr">
        <is>
          <t>§1</t>
        </is>
      </c>
      <c r="B5" s="10" t="inlineStr">
        <is>
          <t>Pages indexables : accueil, programmes, modules publiés, formateurs, devenir formateur, contact, blog</t>
        </is>
      </c>
      <c r="C5" s="10" t="inlineStr">
        <is>
          <t>nuxt.config.ts (robots, sitemap) + usePagePrivee() par page</t>
        </is>
      </c>
      <c r="D5" s="20" t="inlineStr">
        <is>
          <t>Développé</t>
        </is>
      </c>
      <c r="E5" s="10" t="inlineStr"/>
      <c r="F5" s="10" t="n"/>
    </row>
    <row r="6">
      <c r="A6" s="9" t="inlineStr">
        <is>
          <t>§2</t>
        </is>
      </c>
      <c r="B6" s="10" t="inlineStr">
        <is>
          <t>Pages non indexables : authentification, tunnel, dashboards, contenus privés</t>
        </is>
      </c>
      <c r="C6" s="10" t="inlineStr">
        <is>
          <t>noindex et exclusion du sitemap vérifiés sur le build de production</t>
        </is>
      </c>
      <c r="D6" s="20" t="inlineStr">
        <is>
          <t>Développé</t>
        </is>
      </c>
      <c r="E6" s="10" t="inlineStr"/>
      <c r="F6" s="10" t="n"/>
    </row>
    <row r="7">
      <c r="A7" s="9" t="inlineStr">
        <is>
          <t>§3</t>
        </is>
      </c>
      <c r="B7" s="10" t="inlineStr">
        <is>
          <t>Onglet back-office « Référencement et partage »</t>
        </is>
      </c>
      <c r="C7" s="10" t="inlineStr">
        <is>
          <t>app/pages/admin/referencement.vue + server/api/admin/referencement.*</t>
        </is>
      </c>
      <c r="D7" s="20" t="inlineStr">
        <is>
          <t>Développé</t>
        </is>
      </c>
      <c r="E7" s="10" t="inlineStr"/>
      <c r="F7" s="10" t="n"/>
    </row>
    <row r="8">
      <c r="A8" s="9" t="inlineStr">
        <is>
          <t>§3</t>
        </is>
      </c>
      <c r="B8" s="10" t="inlineStr">
        <is>
          <t>Champs éditables par les administrateurs de contenu (mot-clé, Title, description, Open Graph, alt)</t>
        </is>
      </c>
      <c r="C8" s="10" t="inlineStr">
        <is>
          <t>Éditeur de module et éditeur d'article, panneau Référencement</t>
        </is>
      </c>
      <c r="D8" s="20" t="inlineStr">
        <is>
          <t>Développé</t>
        </is>
      </c>
      <c r="E8" s="10" t="inlineStr"/>
      <c r="F8" s="10" t="n"/>
    </row>
    <row r="9">
      <c r="A9" s="9" t="inlineStr">
        <is>
          <t>§3</t>
        </is>
      </c>
      <c r="B9" s="10" t="inlineStr">
        <is>
          <t>Champs réservés aux administrateurs supérieurs (slug, indexation, canonical)</t>
        </is>
      </c>
      <c r="C9" s="10" t="inlineStr">
        <is>
          <t>Filtrés côté serveur selon le rôle, désactivés côté interface</t>
        </is>
      </c>
      <c r="D9" s="20" t="inlineStr">
        <is>
          <t>Développé</t>
        </is>
      </c>
      <c r="E9" s="10" t="inlineStr"/>
      <c r="F9" s="10" t="n"/>
    </row>
    <row r="10">
      <c r="A10" s="9" t="inlineStr">
        <is>
          <t>§3</t>
        </is>
      </c>
      <c r="B10" s="10" t="inlineStr">
        <is>
          <t>Alerte sur les doublons Title / Meta description</t>
        </is>
      </c>
      <c r="C10" s="10" t="inlineStr">
        <is>
          <t>detecterDoublons() dans server/utils/seo.ts, alerte en direct</t>
        </is>
      </c>
      <c r="D10" s="20" t="inlineStr">
        <is>
          <t>Développé</t>
        </is>
      </c>
      <c r="E10" s="10" t="inlineStr"/>
      <c r="F10" s="10" t="n"/>
    </row>
    <row r="11">
      <c r="A11" s="9" t="inlineStr">
        <is>
          <t>§3</t>
        </is>
      </c>
      <c r="B11" s="10" t="inlineStr">
        <is>
          <t>Confirmation avant modification d'une URL publiée</t>
        </is>
      </c>
      <c r="C11" s="10" t="inlineStr">
        <is>
          <t>confirmationSlug exigé par l'API, HTTP 428 sinon</t>
        </is>
      </c>
      <c r="D11" s="20" t="inlineStr">
        <is>
          <t>Développé</t>
        </is>
      </c>
      <c r="E11" s="10" t="inlineStr"/>
      <c r="F11" s="10" t="n"/>
    </row>
    <row r="12">
      <c r="A12" s="9" t="inlineStr">
        <is>
          <t>§4</t>
        </is>
      </c>
      <c r="B12" s="10" t="inlineStr">
        <is>
          <t>Valeurs automatiques, jamais de meta keywords</t>
        </is>
      </c>
      <c r="C12" s="10" t="inlineStr">
        <is>
          <t>usePageSeo() et resoudreSeo()</t>
        </is>
      </c>
      <c r="D12" s="20" t="inlineStr">
        <is>
          <t>Développé</t>
        </is>
      </c>
      <c r="E12" s="10" t="inlineStr"/>
      <c r="F12" s="10" t="n"/>
    </row>
    <row r="13">
      <c r="A13" s="9" t="inlineStr">
        <is>
          <t>§5</t>
        </is>
      </c>
      <c r="B13" s="10" t="inlineStr">
        <is>
          <t>Statuts brouillon / publié / en préparation</t>
        </is>
      </c>
      <c r="C13" s="10" t="inlineStr">
        <is>
          <t>Champ statut, exclusion du sitemap et des listes publiques</t>
        </is>
      </c>
      <c r="D13" s="20" t="inlineStr">
        <is>
          <t>Développé</t>
        </is>
      </c>
      <c r="E13" s="10" t="inlineStr"/>
      <c r="F13" s="10" t="n"/>
    </row>
    <row r="14">
      <c r="A14" s="9" t="inlineStr">
        <is>
          <t>§5</t>
        </is>
      </c>
      <c r="B14" s="10" t="inlineStr">
        <is>
          <t>Redirection 301 au changement de slug</t>
        </is>
      </c>
      <c r="C14" s="10" t="inlineStr">
        <is>
          <t>server/middleware/redirections.ts</t>
        </is>
      </c>
      <c r="D14" s="20" t="inlineStr">
        <is>
          <t>Développé</t>
        </is>
      </c>
      <c r="E14" s="10" t="inlineStr"/>
      <c r="F14" s="10" t="n"/>
    </row>
    <row r="15">
      <c r="A15" s="9" t="inlineStr">
        <is>
          <t>§6</t>
        </is>
      </c>
      <c r="B15" s="10" t="inlineStr">
        <is>
          <t>Un seul H1, hiérarchie logique, rendu serveur</t>
        </is>
      </c>
      <c r="C15" s="10" t="inlineStr">
        <is>
          <t>Vérifié sur le build de production</t>
        </is>
      </c>
      <c r="D15" s="20" t="inlineStr">
        <is>
          <t>Développé</t>
        </is>
      </c>
      <c r="E15" s="10" t="inlineStr"/>
      <c r="F15" s="10" t="n"/>
    </row>
    <row r="16">
      <c r="A16" s="9" t="inlineStr">
        <is>
          <t>§6</t>
        </is>
      </c>
      <c r="B16" s="10" t="inlineStr">
        <is>
          <t>Carrousel accessible : clavier, pause au survol, glissement tactile</t>
        </is>
      </c>
      <c r="C16" s="10" t="inlineStr">
        <is>
          <t>app/components/home/HeroCarousel.vue</t>
        </is>
      </c>
      <c r="D16" s="20" t="inlineStr">
        <is>
          <t>Développé</t>
        </is>
      </c>
      <c r="E16" s="10" t="inlineStr"/>
      <c r="F16" s="10" t="n"/>
    </row>
    <row r="17">
      <c r="A17" s="9" t="inlineStr">
        <is>
          <t>§7</t>
        </is>
      </c>
      <c r="B17" s="10" t="inlineStr">
        <is>
          <t>URLs et fil d'Ariane</t>
        </is>
      </c>
      <c r="C17" s="10" t="inlineStr">
        <is>
          <t>Arborescence conforme + FilAriane.vue / useFilAriane()</t>
        </is>
      </c>
      <c r="D17" s="20" t="inlineStr">
        <is>
          <t>Développé</t>
        </is>
      </c>
      <c r="E17" s="10" t="inlineStr"/>
      <c r="F17" s="10" t="n"/>
    </row>
    <row r="18">
      <c r="A18" s="9" t="inlineStr">
        <is>
          <t>§8</t>
        </is>
      </c>
      <c r="B18" s="10" t="inlineStr">
        <is>
          <t>Sitemap XML et robots.txt</t>
        </is>
      </c>
      <c r="C18" s="10" t="inlineStr">
        <is>
          <t>server/api/__sitemap__/urls.get.ts ; Disallow /formateur/ sans bloquer /formateurs</t>
        </is>
      </c>
      <c r="D18" s="20" t="inlineStr">
        <is>
          <t>Développé</t>
        </is>
      </c>
      <c r="E18" s="10" t="inlineStr"/>
      <c r="F18" s="10" t="n"/>
    </row>
    <row r="19">
      <c r="A19" s="9" t="inlineStr">
        <is>
          <t>§8</t>
        </is>
      </c>
      <c r="B19" s="10" t="inlineStr">
        <is>
          <t>Soumission du sitemap dans la Search Console</t>
        </is>
      </c>
      <c r="C19" s="10" t="inlineStr">
        <is>
          <t>À faire une fois le domaine vérifié</t>
        </is>
      </c>
      <c r="D19" s="21" t="inlineStr">
        <is>
          <t>Bloqué — prestataire</t>
        </is>
      </c>
      <c r="E19" s="10" t="inlineStr">
        <is>
          <t>Demande l'accès Search Console</t>
        </is>
      </c>
      <c r="F19" s="10" t="n"/>
    </row>
    <row r="20">
      <c r="A20" s="9" t="inlineStr">
        <is>
          <t>§9</t>
        </is>
      </c>
      <c r="B20" s="10" t="inlineStr">
        <is>
          <t>Données structurées JSON-LD</t>
        </is>
      </c>
      <c r="C20" s="10" t="inlineStr">
        <is>
          <t>nuxt-schema-org (Organization) + useJsonLd() : Course, Person, Article, BreadcrumbList, FAQPage, ItemList</t>
        </is>
      </c>
      <c r="D20" s="20" t="inlineStr">
        <is>
          <t>Développé</t>
        </is>
      </c>
      <c r="E20" s="10" t="inlineStr"/>
      <c r="F20" s="10" t="n"/>
    </row>
    <row r="21">
      <c r="A21" s="9" t="inlineStr">
        <is>
          <t>§9</t>
        </is>
      </c>
      <c r="B21" s="10" t="inlineStr">
        <is>
          <t>Test avec Rich Results Test et Schema Markup Validator</t>
        </is>
      </c>
      <c r="C21" s="10" t="inlineStr">
        <is>
          <t>À faire sur l'URL de production</t>
        </is>
      </c>
      <c r="D21" s="21" t="inlineStr">
        <is>
          <t>Non développé</t>
        </is>
      </c>
      <c r="E21" s="10" t="inlineStr">
        <is>
          <t>Ne peut se faire qu'en ligne</t>
        </is>
      </c>
      <c r="F21" s="10" t="n"/>
    </row>
    <row r="22">
      <c r="A22" s="9" t="inlineStr">
        <is>
          <t>§10</t>
        </is>
      </c>
      <c r="B22" s="10" t="inlineStr">
        <is>
          <t>Images responsives, WebP/AVIF, alt éditable, Open Graph par page</t>
        </is>
      </c>
      <c r="C22" s="10" t="inlineStr">
        <is>
          <t>@nuxt/image, alt éditable en back-office, Open Graph par page</t>
        </is>
      </c>
      <c r="D22" s="20" t="inlineStr">
        <is>
          <t>Développé</t>
        </is>
      </c>
      <c r="E22" s="10" t="inlineStr">
        <is>
          <t>Les visuels définitifs manquent : placeholders rayés</t>
        </is>
      </c>
      <c r="F22" s="10" t="n"/>
    </row>
    <row r="23">
      <c r="A23" s="9" t="inlineStr">
        <is>
          <t>§11</t>
        </is>
      </c>
      <c r="B23" s="10" t="inlineStr">
        <is>
          <t>Contenu identique desktop / mobile / PWA, pas d'URL mobile séparée</t>
        </is>
      </c>
      <c r="C23" s="10" t="inlineStr">
        <is>
          <t>Rendu serveur unique</t>
        </is>
      </c>
      <c r="D23" s="20" t="inlineStr">
        <is>
          <t>Développé</t>
        </is>
      </c>
      <c r="E23" s="10" t="inlineStr"/>
      <c r="F23" s="10" t="n"/>
    </row>
    <row r="24">
      <c r="A24" s="9" t="inlineStr">
        <is>
          <t>§11</t>
        </is>
      </c>
      <c r="B24" s="10" t="inlineStr">
        <is>
          <t>Core Web Vitals suivis</t>
        </is>
      </c>
      <c r="C24" s="10" t="inlineStr">
        <is>
          <t>Mesure à mettre en place après la mise en production</t>
        </is>
      </c>
      <c r="D24" s="21" t="inlineStr">
        <is>
          <t>Non développé</t>
        </is>
      </c>
      <c r="E24" s="10" t="inlineStr">
        <is>
          <t>Demande GA4 et le domaine de production</t>
        </is>
      </c>
      <c r="F24" s="10" t="n"/>
    </row>
    <row r="25">
      <c r="A25" s="9" t="inlineStr">
        <is>
          <t>§12</t>
        </is>
      </c>
      <c r="B25" s="10" t="inlineStr">
        <is>
          <t>Search Console et GA4 connectés, suivi des événements clés</t>
        </is>
      </c>
      <c r="C25" s="10" t="inlineStr">
        <is>
          <t>/admin/tracking prêt à recevoir les identifiants</t>
        </is>
      </c>
      <c r="D25" s="21" t="inlineStr">
        <is>
          <t>Bloqué — prestataire</t>
        </is>
      </c>
      <c r="E25" s="10" t="inlineStr">
        <is>
          <t>Six indicateurs affichent « — » en attendant</t>
        </is>
      </c>
      <c r="F25" s="10" t="n"/>
    </row>
    <row r="26">
      <c r="A26" s="9" t="inlineStr">
        <is>
          <t>§13</t>
        </is>
      </c>
      <c r="B26" s="10" t="inlineStr">
        <is>
          <t>Permissions : contenu vs administrateur supérieur</t>
        </is>
      </c>
      <c r="C26" s="10" t="inlineStr">
        <is>
          <t>exigerAdmin(event, superieur), exigerFormateur(event), 17 sections</t>
        </is>
      </c>
      <c r="D26" s="20" t="inlineStr">
        <is>
          <t>Développé</t>
        </is>
      </c>
      <c r="E26" s="10" t="inlineStr"/>
      <c r="F26" s="10" t="n"/>
    </row>
    <row r="27">
      <c r="A27" s="9" t="inlineStr">
        <is>
          <t>§14</t>
        </is>
      </c>
      <c r="B27" s="10" t="inlineStr">
        <is>
          <t>Hors périmètre : pas de meta keywords, sitemap/canonical/redirections automatiques</t>
        </is>
      </c>
      <c r="C27" s="10" t="inlineStr">
        <is>
          <t>Respecté</t>
        </is>
      </c>
      <c r="D27" s="20" t="inlineStr">
        <is>
          <t>Développé</t>
        </is>
      </c>
      <c r="E27" s="10" t="inlineStr"/>
      <c r="F27" s="10" t="n"/>
    </row>
  </sheetData>
  <autoFilter ref="A4:F27"/>
  <dataValidations count="1">
    <dataValidation sqref="F5:F27" showDropDown="0" showInputMessage="0" showErrorMessage="0" allowBlank="1" type="list">
      <formula1>"OK,KO,À revoir,Sans objet,Non testé"</formula1>
    </dataValidation>
  </dataValidations>
  <printOptions horizontalCentered="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76" customWidth="1" min="3" max="3"/>
    <col width="24" customWidth="1" min="4" max="4"/>
    <col width="62" customWidth="1" min="5" max="5"/>
  </cols>
  <sheetData>
    <row r="1">
      <c r="A1" s="19" t="inlineStr">
        <is>
          <t>Couverture de l'e-mail de lancement</t>
        </is>
      </c>
    </row>
    <row r="2">
      <c r="A2" s="2" t="inlineStr">
        <is>
          <t>Les points transmis au démarrage du développement, et leur traitement.</t>
        </is>
      </c>
    </row>
    <row r="4" ht="30" customHeight="1">
      <c r="A4" s="16" t="inlineStr">
        <is>
          <t>Point de l'e-mail</t>
        </is>
      </c>
      <c r="B4" s="16" t="inlineStr">
        <is>
          <t>Demande du client</t>
        </is>
      </c>
      <c r="C4" s="16" t="inlineStr">
        <is>
          <t>Ce qui a été fait</t>
        </is>
      </c>
      <c r="D4" s="16" t="inlineStr">
        <is>
          <t>État</t>
        </is>
      </c>
      <c r="E4" s="16" t="inlineStr">
        <is>
          <t>Ce qui reste ouvert</t>
        </is>
      </c>
    </row>
    <row r="5">
      <c r="A5" s="9" t="inlineStr">
        <is>
          <t>1</t>
        </is>
      </c>
      <c r="B5" s="25" t="inlineStr">
        <is>
          <t>Arborescence et flux de navigation (planche E)</t>
        </is>
      </c>
      <c r="C5" s="10" t="inlineStr">
        <is>
          <t>Les 6 parcours sont implémentés : achat, coaching collectif, coaching privé, mise en ligne d'un module, publication d'un article, candidature → formateur</t>
        </is>
      </c>
      <c r="D5" s="20" t="inlineStr">
        <is>
          <t>Traité</t>
        </is>
      </c>
      <c r="E5" s="10" t="inlineStr">
        <is>
          <t>Parcours 01 et 02 dépendent de FeexPay et de Zoom pour être complets en production</t>
        </is>
      </c>
    </row>
    <row r="6">
      <c r="A6" s="9" t="inlineStr">
        <is>
          <t>2</t>
        </is>
      </c>
      <c r="B6" s="25" t="inlineStr">
        <is>
          <t>Handoff de la maquette</t>
        </is>
      </c>
      <c r="C6" s="10" t="inlineStr">
        <is>
          <t>Planches A à D reproduites, jetons de couleur repris (violet #80368D, bleu #29358B), motif et logo intégrés</t>
        </is>
      </c>
      <c r="D6" s="20" t="inlineStr">
        <is>
          <t>Traité</t>
        </is>
      </c>
      <c r="E6" s="10" t="inlineStr">
        <is>
          <t>5 écarts assumés documentés dans le README : titres de 8 modules, répartition formateurs, visuels, textes des modules, responsive traité en points de rupture</t>
        </is>
      </c>
    </row>
    <row r="7">
      <c r="A7" s="9" t="inlineStr">
        <is>
          <t>3</t>
        </is>
      </c>
      <c r="B7" s="25" t="inlineStr">
        <is>
          <t>Numéro WhatsApp +225 05 75 15 21 44</t>
        </is>
      </c>
      <c r="C7" s="10" t="inlineStr">
        <is>
          <t>Centralisé dans shared/utils/contact.ts, lien https://wa.me/2250575152144 ; utilisé par le bouton flottant, le pied de page, l'accueil, la FAQ, les fiches modules et formateurs, le partage d'articles</t>
        </is>
      </c>
      <c r="D7" s="20" t="inlineStr">
        <is>
          <t>Traité</t>
        </is>
      </c>
      <c r="E7" s="10" t="inlineStr">
        <is>
          <t>L'envoi automatique de messages WhatsApp demande encore un compte WhatsApp Business</t>
        </is>
      </c>
    </row>
    <row r="8">
      <c r="A8" s="9" t="inlineStr">
        <is>
          <t>4</t>
        </is>
      </c>
      <c r="B8" s="25" t="inlineStr">
        <is>
          <t>Attestation de participation</t>
        </is>
      </c>
      <c r="C8" s="10" t="inlineStr">
        <is>
          <t>Squelette repris (variables dynamiques), visuel de référence reproduit, numérotation EMBF-…, QR de vérification, export PDF A4 paysage</t>
        </is>
      </c>
      <c r="D8" s="23" t="inlineStr">
        <is>
          <t>Traité — sauf la signature</t>
        </is>
      </c>
      <c r="E8" s="10" t="inlineStr">
        <is>
          <t>La griffe de la direction en PNG à fond transparent n'a pas été fournie ; l'envoi par e-mail attend le prestataire</t>
        </is>
      </c>
    </row>
    <row r="9">
      <c r="A9" s="9" t="inlineStr">
        <is>
          <t>5</t>
        </is>
      </c>
      <c r="B9" s="25" t="inlineStr">
        <is>
          <t>Spécifications SEO</t>
        </is>
      </c>
      <c r="C9" s="10" t="inlineStr">
        <is>
          <t>Points §1 à §14 traités ; voir l'onglet « Conformité SEO » pour le détail ligne à ligne</t>
        </is>
      </c>
      <c r="D9" s="20" t="inlineStr">
        <is>
          <t>Traité</t>
        </is>
      </c>
      <c r="E9" s="10" t="inlineStr">
        <is>
          <t>Les points de mesure (§8 soumission, §12 GA4/Search Console) attendent les accès</t>
        </is>
      </c>
    </row>
    <row r="10">
      <c r="A10" s="9" t="inlineStr">
        <is>
          <t>5 bis</t>
        </is>
      </c>
      <c r="B10" s="25" t="inlineStr">
        <is>
          <t>Onglet référencement dans l'interface admin</t>
        </is>
      </c>
      <c r="C10" s="10" t="inlineStr">
        <is>
          <t>/admin/referencement : pages indexables filtrables par type, édition du SEO, droits séparés contenu / supérieur</t>
        </is>
      </c>
      <c r="D10" s="20" t="inlineStr">
        <is>
          <t>Traité</t>
        </is>
      </c>
      <c r="E10" s="10" t="inlineStr"/>
    </row>
    <row r="11">
      <c r="A11" s="9" t="inlineStr">
        <is>
          <t>5 ter</t>
        </is>
      </c>
      <c r="B11" s="25" t="inlineStr">
        <is>
          <t>Section Blog</t>
        </is>
      </c>
      <c r="C11" s="10" t="inlineStr">
        <is>
          <t>/blog, /blog/[slug], /admin/blog et éditeur d'article avec panneau de référencement</t>
        </is>
      </c>
      <c r="D11" s="20" t="inlineStr">
        <is>
          <t>Traité</t>
        </is>
      </c>
      <c r="E11" s="10" t="inlineStr">
        <is>
          <t>5 articles de démonstration ; le contenu éditorial définitif reste à fournir</t>
        </is>
      </c>
    </row>
    <row r="12">
      <c r="A12" s="9" t="inlineStr">
        <is>
          <t>6</t>
        </is>
      </c>
      <c r="B12" s="25" t="inlineStr">
        <is>
          <t>Typographies Jost et Mulish</t>
        </is>
      </c>
      <c r="C12" s="10" t="inlineStr">
        <is>
          <t>Jost 300/400/500/600 pour les titres, Mulish 400/600/700/800 pour les textes, auto-hébergées via @nuxt/fonts ; plus aucune trace de Century Gothic ni de Nicky Sans</t>
        </is>
      </c>
      <c r="D12" s="20" t="inlineStr">
        <is>
          <t>Traité</t>
        </is>
      </c>
      <c r="E12" s="10" t="inlineStr"/>
    </row>
    <row r="14" ht="32" customHeight="1">
      <c r="A14" s="4" t="inlineStr">
        <is>
          <t>Documents de référence reçus : arborescence des parcours (planche E), handoff de la maquette (planches A à D), squelette et visuel de l'attestation, spécifications SEO. Tous ont été exploités ; les planches A à D et le modèle d'attestation sont archivés dans maquettes/ du dépôt.</t>
        </is>
      </c>
    </row>
  </sheetData>
  <mergeCells count="1">
    <mergeCell ref="A14:E14"/>
  </mergeCells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2026-09-02T18:55:51Z</dcterms:created>
  <dcterms:modified xsi:type="dcterms:W3CDTF">2026-09-02T18:55:51Z</dcterms:modified>
</cp:coreProperties>
</file>