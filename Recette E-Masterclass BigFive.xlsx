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hèse" sheetId="1" r:id="rId4"/>
    <sheet state="visible" name="Recette fonctionnelle" sheetId="2" r:id="rId5"/>
    <sheet state="visible" name="Points manquants" sheetId="3" r:id="rId6"/>
    <sheet state="visible" name="Paiement — FeexPay" sheetId="4" r:id="rId7"/>
    <sheet state="visible" name="Comptes et clés" sheetId="5" r:id="rId8"/>
    <sheet state="visible" name="Conformité SEO" sheetId="6" r:id="rId9"/>
    <sheet state="visible" name="Couverture e-mail" sheetId="7" r:id="rId10"/>
  </sheets>
  <definedNames>
    <definedName hidden="1" localSheetId="1" name="_xlnm._FilterDatabase">'Recette fonctionnelle'!$A$4:$J$150</definedName>
    <definedName hidden="1" localSheetId="2" name="_xlnm._FilterDatabase">'Points manquants'!$A$4:$H$32</definedName>
    <definedName hidden="1" localSheetId="3" name="_xlnm._FilterDatabase">'Paiement — FeexPay'!$A$4:$H$23</definedName>
    <definedName hidden="1" localSheetId="5" name="_xlnm._FilterDatabase">'Conformité SEO'!$A$4:$F$27</definedName>
  </definedNames>
  <calcPr/>
  <extLst>
    <ext uri="GoogleSheetsCustomDataVersion2">
      <go:sheetsCustomData xmlns:go="http://customooxmlschemas.google.com/" r:id="rId11" roundtripDataChecksum="7NCUbgPYnAu4y5YsY+95y/BT5iaFABTHyS5jpGzPO0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ID#AAACGczRw5c
Développement    (2026-09-02 19:12:22)
Les états et les criticités de ce classeur ont été relevés en lisant le code du dépôt le 2 septembre 2026 (branche main, commit 79923e2), le README, le fichier TODO.md et les spécifications SEO de maquettes/specifications. Les colonnes « Verdict recette » et « Commentaire » sont à remplir pendant la recette.</t>
      </text>
    </comment>
  </commentList>
  <extLst>
    <ext uri="GoogleSheetsCustomDataVersion2">
      <go:sheetsCustomData xmlns:go="http://customooxmlschemas.google.com/" r:id="rId1" roundtripDataSignature="AMtx7mh/9s6Rvnc+yg7BPljLf4obmJSghA=="/>
    </ext>
  </extLst>
</comments>
</file>

<file path=xl/sharedStrings.xml><?xml version="1.0" encoding="utf-8"?>
<sst xmlns="http://schemas.openxmlformats.org/spreadsheetml/2006/main" count="1961" uniqueCount="1060">
  <si>
    <t>Recette de vérification — E-Masterclass Big Five</t>
  </si>
  <si>
    <t>Contrôle du développement au regard de l'e-mail de lancement, des planches A à E de la maquette et des spécifications SEO.</t>
  </si>
  <si>
    <t>Projet</t>
  </si>
  <si>
    <t>Plateforme E-Masterclass Big Five — BigFiveAbidjan SARL</t>
  </si>
  <si>
    <t>Dépôt vérifié</t>
  </si>
  <si>
    <t>branche main, dernier commit 79923e2</t>
  </si>
  <si>
    <t>Date du relevé</t>
  </si>
  <si>
    <t>2 septembre 2026</t>
  </si>
  <si>
    <t>Établi par</t>
  </si>
  <si>
    <t>Équipe de développement</t>
  </si>
  <si>
    <t>Contrôles automatiques</t>
  </si>
  <si>
    <t>npm run typecheck : au vert le 02/09 · npm run db:verifier et npm run build : au vert selon le dernier relevé</t>
  </si>
  <si>
    <t>Comment lire ce classeur</t>
  </si>
  <si>
    <t>Recette fonctionnelle</t>
  </si>
  <si>
    <t>les cas à dérouler écran par écran ; renseigner les colonnes « Verdict recette » et « Commentaire »</t>
  </si>
  <si>
    <t>Points manquants</t>
  </si>
  <si>
    <t>tout ce qui manque, avec sa conséquence, qui le fournit et si cela bloque l'ouverture</t>
  </si>
  <si>
    <t>Paiement — FeexPay</t>
  </si>
  <si>
    <t>le détail des informations d'encaissement à fournir — le poste le plus bloquant</t>
  </si>
  <si>
    <t>Comptes et clés</t>
  </si>
  <si>
    <t>les autres comptes prestataires, ce qui est déjà en service et ce qui manque</t>
  </si>
  <si>
    <t>Conformité SEO</t>
  </si>
  <si>
    <t>les spécifications SEO point par point, avec l'endroit où c'est implémenté</t>
  </si>
  <si>
    <t>Couverture e-mail</t>
  </si>
  <si>
    <t>les 6 points de l'e-mail de lancement, et ce qui en reste ouvert</t>
  </si>
  <si>
    <t>État du développement — les colonnes chiffrées se recalculent seules</t>
  </si>
  <si>
    <t>« dont cas critiques » compte les cas dont la criticité est « Bloquant » : ils doivent être au vert avant toute ouverture au public, quel que soit leur état d'avancement.</t>
  </si>
  <si>
    <t>État</t>
  </si>
  <si>
    <t>Nombre de cas</t>
  </si>
  <si>
    <t>dont cas critiques</t>
  </si>
  <si>
    <t>Ce que cela veut dire</t>
  </si>
  <si>
    <t>Développé</t>
  </si>
  <si>
    <t>Développé et vérifié sur le dépôt ; reste à dérouler en recette</t>
  </si>
  <si>
    <t>Développé — échange simulé</t>
  </si>
  <si>
    <t>Le parcours est complet mais l'échange avec le prestataire est simulé</t>
  </si>
  <si>
    <t>Partiel</t>
  </si>
  <si>
    <t>Une partie de l'écran fonctionne, l'autre attend une donnée ou un accès</t>
  </si>
  <si>
    <t>À exécuter</t>
  </si>
  <si>
    <t>Le code existe ; un script reste à exécuter sur la base hébergée</t>
  </si>
  <si>
    <t>Bloqué — prestataire</t>
  </si>
  <si>
    <t>Attend un compte, une clé ou un accès chez un prestataire</t>
  </si>
  <si>
    <t>Bloqué — contenu client</t>
  </si>
  <si>
    <t>Attend un contenu ou un document du client</t>
  </si>
  <si>
    <t>Non développé</t>
  </si>
  <si>
    <t>Reste à développer</t>
  </si>
  <si>
    <t>Total des cas de recette</t>
  </si>
  <si>
    <t>Avancement de la recette — à mesure que la colonne « Verdict recette » est renseignée</t>
  </si>
  <si>
    <t>Verdict</t>
  </si>
  <si>
    <t>OK</t>
  </si>
  <si>
    <t>KO</t>
  </si>
  <si>
    <t>À revoir</t>
  </si>
  <si>
    <t>Sans objet</t>
  </si>
  <si>
    <t>Non testé</t>
  </si>
  <si>
    <t>Ce qui interdit une ouverture au public</t>
  </si>
  <si>
    <t>• FeexPay — aucune information de paiement fournie : aucune variable FEEXPAY_* n'existe, l'échange avec le prestataire est simulé. Voir l'onglet « Paiement — FeexPay ».</t>
  </si>
  <si>
    <t>• Envoi d'e-mails — aucun fournisseur : un apprenant qui oublie son mot de passe est bloqué, et le code de la connexion admin s'écrit dans la sortie du serveur.</t>
  </si>
  <si>
    <t>• Vidéos — 2 chapitres de démonstration sur 72 ; le lecteur affiche son message d'attente partout ailleurs.</t>
  </si>
  <si>
    <t>• Zoom — Meeting SDK non intégré : la salle de coaching collectif n'existe pas encore dans l'application.</t>
  </si>
  <si>
    <t>• Textes juridiques et visuels définitifs non fournis.</t>
  </si>
  <si>
    <t>• Mots de passe des comptes de démonstration à changer, et à retirer de l'écran de connexion et du README.</t>
  </si>
  <si>
    <t>• Domaine de production, HTTPS et variables d'environnement de production à poser.</t>
  </si>
  <si>
    <t>• Deux scripts SQL à exécuter sur la base hébergée : 06-video.sql et rattrapage-videos.sql.</t>
  </si>
  <si>
    <t>Un cas par ligne. Remplir « Verdict recette » (liste déroulante) et « Commentaire du testeur ». Les autres colonnes décrivent l'état relevé sur le dépôt.</t>
  </si>
  <si>
    <t>ID</t>
  </si>
  <si>
    <t>Domaine</t>
  </si>
  <si>
    <t>Écran / route</t>
  </si>
  <si>
    <t>Cas à vérifier</t>
  </si>
  <si>
    <t>Résultat attendu</t>
  </si>
  <si>
    <t>Source (maquette / spéc.)</t>
  </si>
  <si>
    <t>État du développement</t>
  </si>
  <si>
    <t>Criticité</t>
  </si>
  <si>
    <t>Verdict recette</t>
  </si>
  <si>
    <t>Commentaire du testeur</t>
  </si>
  <si>
    <t>VIT-01</t>
  </si>
  <si>
    <t>Site vitrine</t>
  </si>
  <si>
    <t>/</t>
  </si>
  <si>
    <t>Carrousel du hero (2 slides)</t>
  </si>
  <si>
    <t>Un seul H1, partie fixe « Montez en compétences. », sous-titre/CTA/couleur/visuel changent ensemble, pause au survol, navigation clavier, glissement tactile</t>
  </si>
  <si>
    <t>Planche A · Spéc. SEO §6</t>
  </si>
  <si>
    <t>Majeur</t>
  </si>
  <si>
    <t>VIT-02</t>
  </si>
  <si>
    <t>Bloc des deux programmes</t>
  </si>
  <si>
    <t>Social Média en violet #80368D, Entrepreneurs en bleu #29358B, lien vers chaque page programme</t>
  </si>
  <si>
    <t>Planche A</t>
  </si>
  <si>
    <t>VIT-03</t>
  </si>
  <si>
    <t>Accordéon des thématiques</t>
  </si>
  <si>
    <t>Chaque thématique se déplie et liste ses modules</t>
  </si>
  <si>
    <t>Mineur</t>
  </si>
  <si>
    <t>VIT-04</t>
  </si>
  <si>
    <t>Section formateurs</t>
  </si>
  <si>
    <t>Les 3 formateurs avec photo, spécialité et lien vers la fiche</t>
  </si>
  <si>
    <t>VIT-05</t>
  </si>
  <si>
    <t>FAQ d'accueil</t>
  </si>
  <si>
    <t>Questions dépliables, balisage FAQPage</t>
  </si>
  <si>
    <t>Planche A · Spéc. SEO §9</t>
  </si>
  <si>
    <t>VIT-06</t>
  </si>
  <si>
    <t>Derniers articles du blog</t>
  </si>
  <si>
    <t>Les articles publiés remontent ; les brouillons non</t>
  </si>
  <si>
    <t>VIT-07</t>
  </si>
  <si>
    <t>Toutes pages</t>
  </si>
  <si>
    <t>Bouton WhatsApp flottant</t>
  </si>
  <si>
    <t>Ouvre https://wa.me/2250575152144 avec message pré-rempli</t>
  </si>
  <si>
    <t>E-mail de lancement §3</t>
  </si>
  <si>
    <t>VIT-08</t>
  </si>
  <si>
    <t>/programmes</t>
  </si>
  <si>
    <t>Liste des deux programmes</t>
  </si>
  <si>
    <t>Page unique présentant les deux parcours, modules filtrables par thématique</t>
  </si>
  <si>
    <t>VIT-09</t>
  </si>
  <si>
    <t>/programmes/social-media</t>
  </si>
  <si>
    <t>Page programme Social Média</t>
  </si>
  <si>
    <t>Hero dégradé + motif de marque, filtres par thématique, FAQ du programme</t>
  </si>
  <si>
    <t>VIT-10</t>
  </si>
  <si>
    <t>/programmes/entrepreneurs</t>
  </si>
  <si>
    <t>Page programme Entrepreneurs</t>
  </si>
  <si>
    <t>Idem, en bleu #29358B</t>
  </si>
  <si>
    <t>VIT-11</t>
  </si>
  <si>
    <t>/modules</t>
  </si>
  <si>
    <t>Catalogue complet</t>
  </si>
  <si>
    <t>18 modules, filtres par programme et thématique</t>
  </si>
  <si>
    <r>
      <rPr>
        <rFont val="Arial"/>
        <color rgb="FF17151C"/>
        <sz val="10.0"/>
      </rPr>
      <t xml:space="preserve">Le catalogue </t>
    </r>
    <r>
      <rPr>
        <rFont val="Arial"/>
        <b/>
        <color rgb="FF17151C"/>
        <sz val="10.0"/>
      </rPr>
      <t>/modules</t>
    </r>
    <r>
      <rPr>
        <rFont val="Arial"/>
        <color rgb="FF17151C"/>
        <sz val="10.0"/>
      </rPr>
      <t xml:space="preserve"> n’est pas accessible via un point d’entrée explicite depuis la landing page. Aucun menu ou CTA “Tous les modules” n’est visible dans la navigation. Sinon sur la page </t>
    </r>
    <r>
      <rPr>
        <rFont val="Arial"/>
        <b/>
        <color rgb="FF17151C"/>
        <sz val="10.0"/>
      </rPr>
      <t>/modules</t>
    </r>
    <r>
      <rPr>
        <rFont val="Arial"/>
        <color rgb="FF17151C"/>
        <sz val="10.0"/>
      </rPr>
      <t xml:space="preserve"> on y retrouve tous les modules, mais on a que </t>
    </r>
    <r>
      <rPr>
        <rFont val="Arial"/>
        <b/>
        <color rgb="FF17151C"/>
        <sz val="10.0"/>
      </rPr>
      <t>3 modules pas 18</t>
    </r>
  </si>
  <si>
    <t>VIT-12</t>
  </si>
  <si>
    <t>/modules/[slug]</t>
  </si>
  <si>
    <t>Fiche module</t>
  </si>
  <si>
    <t>Promesse, pourquoi, chapitres, formateur, carte d'achat collante à 10 000 FCFA TTC</t>
  </si>
  <si>
    <t>Bloquant</t>
  </si>
  <si>
    <t>VIT-13</t>
  </si>
  <si>
    <t>Module « en préparation »</t>
  </si>
  <si>
    <t>Fiche commerciale visible, achat fermé, hors sitemap</t>
  </si>
  <si>
    <t>Spéc. SEO §5</t>
  </si>
  <si>
    <t>VIT-14</t>
  </si>
  <si>
    <t>/formateurs</t>
  </si>
  <si>
    <t>Liste des formateurs</t>
  </si>
  <si>
    <t>Profils dépliables, encart coaching privé</t>
  </si>
  <si>
    <t>VIT-15</t>
  </si>
  <si>
    <t>/formateurs/[slug]</t>
  </si>
  <si>
    <t>Fiche formateur</t>
  </si>
  <si>
    <t>Biographie, modules animés, données structurées Person</t>
  </si>
  <si>
    <r>
      <rPr>
        <rFont val="Arial"/>
        <color rgb="FF1F1F1F"/>
        <sz val="10.0"/>
      </rPr>
      <t xml:space="preserve">Mettre à jour les bio 
</t>
    </r>
    <r>
      <rPr>
        <rFont val="Arial"/>
        <color rgb="FF1155CC"/>
        <sz val="10.0"/>
        <u/>
      </rPr>
      <t>https://docs.google.com/document/d/1TwkA0FFDtQUHzaNdNsioVnpKoYeZ6Pda37QqgPBrp1w/edit?tab=t.0</t>
    </r>
  </si>
  <si>
    <t>VIT-16</t>
  </si>
  <si>
    <t>/devenir-formateur</t>
  </si>
  <si>
    <t>Candidature formateur</t>
  </si>
  <si>
    <t>Le formulaire enregistre la candidature en base et remonte dans /admin/formateurs</t>
  </si>
  <si>
    <t>Planche E — parcours 06</t>
  </si>
  <si>
    <t>VIT-17</t>
  </si>
  <si>
    <t>/contact</t>
  </si>
  <si>
    <t>Formulaire de contact</t>
  </si>
  <si>
    <t>La demande part par e-mail vers l'adresse de l'équipe</t>
  </si>
  <si>
    <t>Créer l'adresse mail E-masterclass à partir du nom de domaine</t>
  </si>
  <si>
    <t>VIT-18</t>
  </si>
  <si>
    <t>/sessions</t>
  </si>
  <si>
    <t>Calendrier public des coachings</t>
  </si>
  <si>
    <t>Sessions à venir avec thématique, formateur, date et places restantes</t>
  </si>
  <si>
    <t>VIT-19</t>
  </si>
  <si>
    <t>/blog · /blog/[slug]</t>
  </si>
  <si>
    <t>Section blog</t>
  </si>
  <si>
    <t>Liste paginée et article complet, balisage Article, partage WhatsApp</t>
  </si>
  <si>
    <t>E-mail de lancement §5</t>
  </si>
  <si>
    <t>VIT-20</t>
  </si>
  <si>
    <t>/mentions-legales · /cgu · /cgv · /confidentialite · /cookies</t>
  </si>
  <si>
    <t>Pages légales</t>
  </si>
  <si>
    <t>Textes juridiques validés par le client en ligne</t>
  </si>
  <si>
    <t>VIT-21</t>
  </si>
  <si>
    <t>Bandeau cookies</t>
  </si>
  <si>
    <t>3 catégories (essentiels, audience, marketing), rien n'est chargé avant le choix, re-demande à 1 an, retrait par « Gérer mes cookies »</t>
  </si>
  <si>
    <t>Planche A — écran 10</t>
  </si>
  <si>
    <t>VIT-22</t>
  </si>
  <si>
    <t>En-tête et pied de page</t>
  </si>
  <si>
    <t>Numéro WhatsApp affiché</t>
  </si>
  <si>
    <t>« +225 05 75 15 21 44 » partout, cliquable</t>
  </si>
  <si>
    <t>VIT-23</t>
  </si>
  <si>
    <t>Responsive</t>
  </si>
  <si>
    <t>Points de rupture desktop / tablette / mobile conformes aux planches</t>
  </si>
  <si>
    <t>Maquette</t>
  </si>
  <si>
    <t>VIT-24</t>
  </si>
  <si>
    <t>Typographies</t>
  </si>
  <si>
    <t>Jost (titres) et Mulish (textes) chargées, auto-hébergées, aucune police tierce restante</t>
  </si>
  <si>
    <t>E-mail de lancement §6</t>
  </si>
  <si>
    <t>VIT-25</t>
  </si>
  <si>
    <t>Fonds sombres</t>
  </si>
  <si>
    <t>Lisibilité des liens</t>
  </si>
  <si>
    <t>Contraste suffisant sur barres latérales, hero programme et lecteur</t>
  </si>
  <si>
    <t>Correctif du 02/09</t>
  </si>
  <si>
    <t>ACH-01</t>
  </si>
  <si>
    <t>Tunnel d'achat</t>
  </si>
  <si>
    <t>/modules/[slug] → /achat/compte</t>
  </si>
  <si>
    <t>Entrée dans le tunnel</t>
  </si>
  <si>
    <t>Le bouton d'achat mène à l'étape 1 avec le module en mémoire</t>
  </si>
  <si>
    <t>Planche E — parcours 01</t>
  </si>
  <si>
    <t>ACH-02</t>
  </si>
  <si>
    <t>/achat/compte</t>
  </si>
  <si>
    <t>Étape 1 — compte</t>
  </si>
  <si>
    <t>Création de compte ou connexion, puis passage à l'étape 2</t>
  </si>
  <si>
    <t>Planche A — écran 04a</t>
  </si>
  <si>
    <t>ACH-03</t>
  </si>
  <si>
    <t>/achat/recapitulatif</t>
  </si>
  <si>
    <t>Étape 2 — récapitulatif</t>
  </si>
  <si>
    <t>Module, prix TTC, case d'acceptation des CGV</t>
  </si>
  <si>
    <t>Planche A — écran 04b</t>
  </si>
  <si>
    <r>
      <rPr>
        <rFont val="Arial"/>
        <color rgb="FF17151C"/>
        <sz val="10.0"/>
      </rPr>
      <t xml:space="preserve">En attente des </t>
    </r>
    <r>
      <rPr>
        <rFont val="Arial"/>
        <b/>
        <color rgb="FF17151C"/>
        <sz val="10.0"/>
      </rPr>
      <t>CGV</t>
    </r>
  </si>
  <si>
    <t>ACH-04</t>
  </si>
  <si>
    <t>/achat/paiement</t>
  </si>
  <si>
    <t>Étape 3 — moyen de paiement</t>
  </si>
  <si>
    <t>Choix Mobile Money, Wave, Djamo ou Visa</t>
  </si>
  <si>
    <t>Planche A — écran 04c</t>
  </si>
  <si>
    <t>ACH-05</t>
  </si>
  <si>
    <t>Paiement accepté</t>
  </si>
  <si>
    <t>Commande + transaction enregistrées, accès au module ouvert immédiatement</t>
  </si>
  <si>
    <t>Échange simulé mais dans les choix de méthode de paiement, Wave et Djamo se comportent comme le moyen de paiement Mobile Money</t>
  </si>
  <si>
    <t>ACH-06</t>
  </si>
  <si>
    <t>Les 6 motifs d'échec</t>
  </si>
  <si>
    <t>Solde insuffisant, annulation, délai dépassé, réseau opérateur, carte refusée, erreur inconnue : HTTP 402, message clair, transaction tracée et filtrable</t>
  </si>
  <si>
    <t>ACH-07</t>
  </si>
  <si>
    <t>server/api/commandes.post.ts</t>
  </si>
  <si>
    <t>Encaissement réel FeexPay</t>
  </si>
  <si>
    <t>Appel à l'API FeexPay, redirection de paiement, retour signé vérifié</t>
  </si>
  <si>
    <t>E-mail de lancement · Planche E</t>
  </si>
  <si>
    <t>ACH-08</t>
  </si>
  <si>
    <t>À créer</t>
  </si>
  <si>
    <t>Webhook / URL de retour FeexPay</t>
  </si>
  <si>
    <t>Endpoint public qui reçoit et vérifie la notification du prestataire, idempotent</t>
  </si>
  <si>
    <t>Intégration FeexPay</t>
  </si>
  <si>
    <t>ACH-09</t>
  </si>
  <si>
    <t>/admin/transactions</t>
  </si>
  <si>
    <t>Rapprochement quotidien</t>
  </si>
  <si>
    <t>Confrontation des transactions plateforme et du relevé FeexPay</t>
  </si>
  <si>
    <t>Planche C — écran 18f</t>
  </si>
  <si>
    <t>ACH-10</t>
  </si>
  <si>
    <t>Notifications</t>
  </si>
  <si>
    <t>E-mail de confirmation d'achat</t>
  </si>
  <si>
    <t>L'apprenant reçoit sa confirmation et sa facture</t>
  </si>
  <si>
    <t>ACH-11</t>
  </si>
  <si>
    <t>/mon-espace/modules</t>
  </si>
  <si>
    <t>Accès à vie</t>
  </si>
  <si>
    <t>Le module acheté reste accessible sans limite de durée</t>
  </si>
  <si>
    <t>Modèle économique</t>
  </si>
  <si>
    <t>ACH-12</t>
  </si>
  <si>
    <t>/admin/parametres</t>
  </si>
  <si>
    <t>Frais de paiement</t>
  </si>
  <si>
    <t>Taux FeexPay paramétrable (4 % par défaut) et réservé à l'administrateur supérieur</t>
  </si>
  <si>
    <t>Dans paramètres de l'admin, je ne retrouve pas cette fonction</t>
  </si>
  <si>
    <t>APP-01</t>
  </si>
  <si>
    <t>Espace apprenant</t>
  </si>
  <si>
    <t>/mon-espace</t>
  </si>
  <si>
    <t>Tableau de bord</t>
  </si>
  <si>
    <t>Modules en cours, progression, prochaine session, dernières attestations</t>
  </si>
  <si>
    <t>Planche B</t>
  </si>
  <si>
    <t>APP-02</t>
  </si>
  <si>
    <t>Mes modules</t>
  </si>
  <si>
    <t>Uniquement les modules achetés ou attribués</t>
  </si>
  <si>
    <t>APP-03</t>
  </si>
  <si>
    <t>/mon-espace/module/[slug]</t>
  </si>
  <si>
    <t>Détail d'un module</t>
  </si>
  <si>
    <t>Chapitres, ressources, progression, accès au lecteur</t>
  </si>
  <si>
    <t>Dans mes modules, rajouter un bouton permettant de revisionner les modules déjà terminés</t>
  </si>
  <si>
    <t>APP-04</t>
  </si>
  <si>
    <t>/mon-espace/sessions</t>
  </si>
  <si>
    <t>Mes coachings collectifs</t>
  </si>
  <si>
    <t>Sessions réservées, lien de séance à l'heure dite</t>
  </si>
  <si>
    <t>APP-05</t>
  </si>
  <si>
    <t>/mon-espace/certificats</t>
  </si>
  <si>
    <t>Mes attestations</t>
  </si>
  <si>
    <t>Attestations délivrées et modules terminés en attente de délivrance</t>
  </si>
  <si>
    <t>Revoir l'étiquette "En progression", rajouter le pourcentage de progression
Capture d’écran 2026-10-01 à 17.44.03.png</t>
  </si>
  <si>
    <t>APP-06</t>
  </si>
  <si>
    <t>/mon-espace/profil</t>
  </si>
  <si>
    <t>Fiche apprenant (persona)</t>
  </si>
  <si>
    <t>Formulaire persisté, exigé avant réservation d'un coaching</t>
  </si>
  <si>
    <t>APP-07</t>
  </si>
  <si>
    <t>/mon-espace/parametres</t>
  </si>
  <si>
    <t>Paramètres du compte</t>
  </si>
  <si>
    <t>Changement d'e-mail, de mot de passe, préférences de notification, suppression du compte</t>
  </si>
  <si>
    <t>Planche B — écrans 11 et 12</t>
  </si>
  <si>
    <t>Le bouton ON/OFF de Notifications a un bug lorsqu'il est ON
Capture d’écran 2026-10-01 à 17.55.43.png</t>
  </si>
  <si>
    <t>APP-08</t>
  </si>
  <si>
    <t>Suppression douce</t>
  </si>
  <si>
    <t>Le compte ne peut plus se connecter, l'e-mail est libéré, les écritures comptables restent</t>
  </si>
  <si>
    <t>Planche E</t>
  </si>
  <si>
    <t>APP-09</t>
  </si>
  <si>
    <t>/mon-espace/coaching-prive</t>
  </si>
  <si>
    <t>Demande de coaching privé</t>
  </si>
  <si>
    <t>Choix d'un formateur actif, créneaux, questions obligatoires</t>
  </si>
  <si>
    <t>Planche E — parcours 03</t>
  </si>
  <si>
    <t>APP-10</t>
  </si>
  <si>
    <t>/hors-ligne</t>
  </si>
  <si>
    <t>Écran hors ligne</t>
  </si>
  <si>
    <t>Servi par le service worker quand le réseau tombe</t>
  </si>
  <si>
    <t>APP-11</t>
  </si>
  <si>
    <t>PWA</t>
  </si>
  <si>
    <t>Installation de l'application</t>
  </si>
  <si>
    <t>Manifeste, icônes (dont maskable), service worker ; comptes, paiements et back-office exclus du cache</t>
  </si>
  <si>
    <t>Spéc. SEO §11</t>
  </si>
  <si>
    <t>VID-01</t>
  </si>
  <si>
    <t>Lecteur vidéo</t>
  </si>
  <si>
    <t>/mon-espace/lecture/[slug]</t>
  </si>
  <si>
    <t>Filigrane nominatif</t>
  </si>
  <si>
    <t>Nom et e-mail de l'apprenant affichés en permanence sur la vidéo</t>
  </si>
  <si>
    <t>VID-02</t>
  </si>
  <si>
    <t>Script synchronisé</t>
  </si>
  <si>
    <t>Le script défile et chaque timecode est cliquable</t>
  </si>
  <si>
    <t>En attente de l'ensemble des contenus</t>
  </si>
  <si>
    <t>VID-03</t>
  </si>
  <si>
    <t>Progression honnête</t>
  </si>
  <si>
    <t>L'avance rapide ne valide pas la progression, et c'est écrit à l'écran</t>
  </si>
  <si>
    <t>VID-04</t>
  </si>
  <si>
    <t>API + Worker Cloudflare</t>
  </si>
  <si>
    <t>Autorisation signée</t>
  </si>
  <si>
    <t>URL nominative valable 4 h, recalculée par le Worker ; aucun segment ne passe par le serveur Nuxt</t>
  </si>
  <si>
    <t>Architecture vidéo</t>
  </si>
  <si>
    <t>VID-05</t>
  </si>
  <si>
    <t>Worker Cloudflare</t>
  </si>
  <si>
    <t>Cloisonnement des chapitres</t>
  </si>
  <si>
    <t>Une autorisation pour un chapitre ne donne accès à aucun autre — vérifié le 02/09</t>
  </si>
  <si>
    <t>VID-06</t>
  </si>
  <si>
    <t>npm run video:verifier</t>
  </si>
  <si>
    <t>Signature locale = signature Worker</t>
  </si>
  <si>
    <t>Le script échoue si les deux implémentations divergent</t>
  </si>
  <si>
    <t>VID-07</t>
  </si>
  <si>
    <t>medias/hls</t>
  </si>
  <si>
    <t>Vidéos définitives</t>
  </si>
  <si>
    <t>Les 18 modules (72 chapitres) transcodés et publiés — 2 chapitres de démonstration seulement à ce jour</t>
  </si>
  <si>
    <t>E-mail de lancement · TODO</t>
  </si>
  <si>
    <t>VID-08</t>
  </si>
  <si>
    <t>supabase/en-ligne/06-video.sql</t>
  </si>
  <si>
    <t>Migration vidéo sur la base hébergée</t>
  </si>
  <si>
    <t>Colonnes vidéo et relevé de visionnage créés ; sans elle le lecteur affiche « pas encore en ligne » partout</t>
  </si>
  <si>
    <t>TODO §1</t>
  </si>
  <si>
    <t>À tester par la tech</t>
  </si>
  <si>
    <t>VID-09</t>
  </si>
  <si>
    <t>supabase/en-ligne/rattrapage-videos.sql</t>
  </si>
  <si>
    <t>Rattachement des vidéos de démonstration</t>
  </si>
  <si>
    <t>Les deux chapitres de démonstration se lisent depuis le CDN</t>
  </si>
  <si>
    <t>COL-01</t>
  </si>
  <si>
    <t>Coaching collectif</t>
  </si>
  <si>
    <t>/admin/sessions</t>
  </si>
  <si>
    <t>Règle de programmation</t>
  </si>
  <si>
    <t>Une session par couple thématique–formateur, 2 heures, 25 places</t>
  </si>
  <si>
    <t>Le système autorise actuellement la création de plusieurs sessions de coaching pour un même couple thématique–formateur au cours d’un même mois, alors que la règle attendue prévoit une seule session mensuelle par couple thématique–formateur. Lors du test, une session « Fondations du business — Jérémie De Clercq » existait déjà le 12/09 à 18h00, mais une seconde session pour le même couple a pu être créée le 27/09 à 19h00</t>
  </si>
  <si>
    <t>COL-02</t>
  </si>
  <si>
    <t>Éligibilité</t>
  </si>
  <si>
    <t>La session n'apparaît qu'aux apprenants possédant un module de la thématique</t>
  </si>
  <si>
    <t>Planche E — parcours 02</t>
  </si>
  <si>
    <t>COL-03</t>
  </si>
  <si>
    <t>POST /api/mon-espace/sessions/reserver</t>
  </si>
  <si>
    <t>Conditions de réservation</t>
  </si>
  <si>
    <t>Fiche apprenant complète et deux réponses obligatoires, transmises au formateur</t>
  </si>
  <si>
    <t>Aucune session active pour tester si l'affiche apprenant contraint l'utilisateur à être complète avant réservation</t>
  </si>
  <si>
    <t>COL-04</t>
  </si>
  <si>
    <t>reserver_place_session()</t>
  </si>
  <si>
    <t>Dernière place</t>
  </si>
  <si>
    <t>Deux réservations simultanées sur la dernière place ne passent pas toutes les deux</t>
  </si>
  <si>
    <t>Fonctions métier</t>
  </si>
  <si>
    <t>COL-05</t>
  </si>
  <si>
    <t>/mon-espace/session/[id]</t>
  </si>
  <si>
    <t>Salle de séance</t>
  </si>
  <si>
    <t>Zoom Meeting SDK intégré (Component View bureau, Client View mobile), jeton généré côté serveur</t>
  </si>
  <si>
    <t>COL-06</t>
  </si>
  <si>
    <t>Annulation notifiée</t>
  </si>
  <si>
    <t>Inscrits comptés, prévenus par e-mail et WhatsApp, action journalisée</t>
  </si>
  <si>
    <t>COL-07</t>
  </si>
  <si>
    <t>Relevé de présence</t>
  </si>
  <si>
    <t>Colonne Présence renseignée après chaque séance ; sans elle les taux formateurs restent vides</t>
  </si>
  <si>
    <t>Planche C</t>
  </si>
  <si>
    <t>COL-08</t>
  </si>
  <si>
    <t>Notation de la séance</t>
  </si>
  <si>
    <t>Proposée après la séance, visible de l'administration et du formateur, jamais publiée</t>
  </si>
  <si>
    <t>PRI-01</t>
  </si>
  <si>
    <t>Coaching privé</t>
  </si>
  <si>
    <t>Dépôt de la demande</t>
  </si>
  <si>
    <t>Formateur actif, créneaux souhaités, questions obligatoires renseignées</t>
  </si>
  <si>
    <t>PRI-02</t>
  </si>
  <si>
    <t>/admin/coaching-prive</t>
  </si>
  <si>
    <t>Cycle de traitement</t>
  </si>
  <si>
    <t>Confirmer → payée → planifiée → réalisée, chaque étape journalisée</t>
  </si>
  <si>
    <t>J'ai suivi le parcours mais j'ai pas eu à payer pour que la demande soit en attente, à quel moment le paiement intervient ?</t>
  </si>
  <si>
    <t>PRI-03</t>
  </si>
  <si>
    <t>Refus motivé</t>
  </si>
  <si>
    <t>Le refus exige un motif, transmis à l'apprenant</t>
  </si>
  <si>
    <t>PRI-04</t>
  </si>
  <si>
    <t>/formateur/coaching-prive</t>
  </si>
  <si>
    <t>Séance côté formateur</t>
  </si>
  <si>
    <t>Demandes planifiées, lien de séance, suivi daté</t>
  </si>
  <si>
    <t>Planche D — écran 05</t>
  </si>
  <si>
    <t>J'ai pas retrouvé la fonction dans l'admin</t>
  </si>
  <si>
    <t>PRI-05</t>
  </si>
  <si>
    <t>Suivi et notation</t>
  </si>
  <si>
    <t>Suivi daté visible de l'apprenant, notation après la séance</t>
  </si>
  <si>
    <t>PRI-06</t>
  </si>
  <si>
    <t>formateurs.coaching_prive_actif</t>
  </si>
  <si>
    <t>Bascule administrateur</t>
  </si>
  <si>
    <t>Le drapeau verrouille la section du formateur et filtre les formateurs proposés ; action journalisée</t>
  </si>
  <si>
    <t>PRI-07</t>
  </si>
  <si>
    <t>Tarif</t>
  </si>
  <si>
    <t>50 000 FCFA de l'heure, réservé et payé séparément</t>
  </si>
  <si>
    <t>PRI-08</t>
  </si>
  <si>
    <t>Encaissement</t>
  </si>
  <si>
    <t>Paiement de la séance</t>
  </si>
  <si>
    <t>Encaissement FeexPay du coaching privé</t>
  </si>
  <si>
    <t>ATT-01</t>
  </si>
  <si>
    <t>Attestation</t>
  </si>
  <si>
    <t>POST /api/certificats</t>
  </si>
  <si>
    <t>Déclenchement</t>
  </si>
  <si>
    <t>Délivrance automatique à 100 % de progression du module</t>
  </si>
  <si>
    <t>E-mail de lancement §4</t>
  </si>
  <si>
    <t>ATT-02</t>
  </si>
  <si>
    <t>delivrer_certificat()</t>
  </si>
  <si>
    <t>Numérotation</t>
  </si>
  <si>
    <t>EMBF-&lt;CODE PROGRAMME&gt;-&lt;ANNÉE&gt;-&lt;SÉQUENCE&gt;, tirée d'une séquence, idempotente (ex. EMBF-ENT-2026-000128)</t>
  </si>
  <si>
    <t>ATT-03</t>
  </si>
  <si>
    <t>/certificats/[numero]</t>
  </si>
  <si>
    <t>Variables du squelette</t>
  </si>
  <si>
    <t>Prénom NOM, titre du module, programme, thématique, formateur, durée, date de réalisation, date de délivrance, numéro</t>
  </si>
  <si>
    <t>Squelette Google Docs</t>
  </si>
  <si>
    <t>ATT-04</t>
  </si>
  <si>
    <t>Fidélité au visuel de référence</t>
  </si>
  <si>
    <t>Motif Big Five sur les 4 bords, carte blanche, nom en grandes capitales, module encadré, 4 repères à icônes</t>
  </si>
  <si>
    <t>modelAttestation.pdf</t>
  </si>
  <si>
    <t>ATT-05</t>
  </si>
  <si>
    <t>Signature de la direction</t>
  </si>
  <si>
    <t>Griffe PNG à fond transparent affichée sous la ligne de signature — fichier non fourni à ce jour</t>
  </si>
  <si>
    <t>ATT-06</t>
  </si>
  <si>
    <t>QR code</t>
  </si>
  <si>
    <t>Généré côté serveur, pointe vers /verifier/&lt;numero&gt;</t>
  </si>
  <si>
    <t>Comment concrètement vérifier l'attestation</t>
  </si>
  <si>
    <t>ATT-07</t>
  </si>
  <si>
    <t>/verifier · /verifier/[numero]</t>
  </si>
  <si>
    <t>Vérification publique</t>
  </si>
  <si>
    <t>Saisie manuelle d'un numéro et page de contrôle accessibles sans compte</t>
  </si>
  <si>
    <t>ATT-08</t>
  </si>
  <si>
    <t>Export PDF</t>
  </si>
  <si>
    <t>Impression navigateur, feuille dédiée, A4 paysage</t>
  </si>
  <si>
    <t>ATT-09</t>
  </si>
  <si>
    <t>Envoi de l'attestation</t>
  </si>
  <si>
    <t>L'apprenant reçoit son attestation par e-mail à la délivrance</t>
  </si>
  <si>
    <t>FOR-01</t>
  </si>
  <si>
    <t>Espace formateur</t>
  </si>
  <si>
    <t>/formateur</t>
  </si>
  <si>
    <t>Modules animés, prochaines séances, note moyenne, revenus du mois</t>
  </si>
  <si>
    <t>Planche D</t>
  </si>
  <si>
    <t>FOR-02</t>
  </si>
  <si>
    <t>/formateur/modules</t>
  </si>
  <si>
    <t>Modules dont le formateur est titulaire, avec leurs statistiques</t>
  </si>
  <si>
    <t>FOR-03</t>
  </si>
  <si>
    <t>/formateur/sessions</t>
  </si>
  <si>
    <t>Mes sessions</t>
  </si>
  <si>
    <t>Calendrier, inscrits, réponses obligatoires reçues avant la séance</t>
  </si>
  <si>
    <t>FOR-04</t>
  </si>
  <si>
    <t>/formateur/revenus</t>
  </si>
  <si>
    <t>Calcul des revenus</t>
  </si>
  <si>
    <t>CA − 4 % de frais FeexPay = marge brute ; 30 % formateur, 70 % Big Five</t>
  </si>
  <si>
    <t>FOR-05</t>
  </si>
  <si>
    <t>Relevé PDF</t>
  </si>
  <si>
    <t>Export du relevé de revenus téléchargeable</t>
  </si>
  <si>
    <t>FOR-06</t>
  </si>
  <si>
    <t>/formateur/profil</t>
  </si>
  <si>
    <t>Profil public</t>
  </si>
  <si>
    <t>Le formateur met à jour sa fiche, l'administration valide</t>
  </si>
  <si>
    <t>FOR-07</t>
  </si>
  <si>
    <t>Note moyenne</t>
  </si>
  <si>
    <t>Calculée sur les notations réelles des séances, pas sur une valeur figée</t>
  </si>
  <si>
    <t>FOR-08</t>
  </si>
  <si>
    <t>Taux de présence</t>
  </si>
  <si>
    <t>Alimenté par le relevé de présence de l'administration</t>
  </si>
  <si>
    <t>ADM-01</t>
  </si>
  <si>
    <t>Back-office</t>
  </si>
  <si>
    <t>/admin/login</t>
  </si>
  <si>
    <t>Connexion en deux temps</t>
  </si>
  <si>
    <t>Mot de passe, puis code à 6 chiffres valable 10 minutes, renvoi limité à un par minute</t>
  </si>
  <si>
    <t>ADM-02</t>
  </si>
  <si>
    <t>Acheminement du code</t>
  </si>
  <si>
    <t>Le code arrive par e-mail (Supabase Auth) et non dans la sortie du serveur</t>
  </si>
  <si>
    <t>ADM-03</t>
  </si>
  <si>
    <t>/admin</t>
  </si>
  <si>
    <t>Vue d'ensemble</t>
  </si>
  <si>
    <t>Indicateurs de la période, alertes, raccourcis</t>
  </si>
  <si>
    <t>Planche C — écran 01</t>
  </si>
  <si>
    <t>ADM-04</t>
  </si>
  <si>
    <t>/admin/contenus</t>
  </si>
  <si>
    <t>Arbre des contenus</t>
  </si>
  <si>
    <t>Programme → thématique → module ; publier un parent ne publie jamais ses enfants</t>
  </si>
  <si>
    <t>ADM-05</t>
  </si>
  <si>
    <t>Réordonnancement</t>
  </si>
  <si>
    <t>Glisser-déposer pour réordonner les contenus</t>
  </si>
  <si>
    <t>ADM-06</t>
  </si>
  <si>
    <t>/admin/module/[id]</t>
  </si>
  <si>
    <t>Éditeur de module</t>
  </si>
  <si>
    <t>Onglets Informations, Chapitres, Ressources, Offre, Référencement et partage, Historique</t>
  </si>
  <si>
    <t>Planche E — parcours 04</t>
  </si>
  <si>
    <t>J'ai pas retrouvé le chemin module, il y a une section Modules &amp; chapitres mais je ne retrouve pas les fonctions attendues</t>
  </si>
  <si>
    <t>ADM-07</t>
  </si>
  <si>
    <t>Garde-fou de l'offre</t>
  </si>
  <si>
    <t>L'offre ne s'ouvre pas sans promesse, sans « pourquoi » et sans au moins un chapitre</t>
  </si>
  <si>
    <t>ADM-08</t>
  </si>
  <si>
    <t>/admin/article/[id]</t>
  </si>
  <si>
    <t>Éditeur d'article</t>
  </si>
  <si>
    <t>Rédaction, illustration, panneau de référencement et partage, publication</t>
  </si>
  <si>
    <t>Planche E — parcours 05</t>
  </si>
  <si>
    <t>ADM-09</t>
  </si>
  <si>
    <t>/admin/blog</t>
  </si>
  <si>
    <t>Gestion du blog</t>
  </si>
  <si>
    <t>Liste, statuts, création et dépublication d'un article</t>
  </si>
  <si>
    <t>ADM-10</t>
  </si>
  <si>
    <t>/admin/cms</t>
  </si>
  <si>
    <t>CMS du site vitrine</t>
  </si>
  <si>
    <t>Blocs éditoriaux de l'accueil et témoignages modifiables sans développeur</t>
  </si>
  <si>
    <t>ADM-11</t>
  </si>
  <si>
    <t>Calendrier des sessions</t>
  </si>
  <si>
    <t>Création, report, annulation notifiée, relevé de présence</t>
  </si>
  <si>
    <t>ADM-12</t>
  </si>
  <si>
    <t>/admin/apprenants</t>
  </si>
  <si>
    <t>Fiche apprenante</t>
  </si>
  <si>
    <t>Liste, persona, historique d'achats, attestations</t>
  </si>
  <si>
    <t xml:space="preserve">J'ai essayé d'ajouter un apprenant en créant un compte pour tester les fonctionnalités mais je n'y suis pas arrivé </t>
  </si>
  <si>
    <t>ADM-13</t>
  </si>
  <si>
    <t>Attribution d'accès</t>
  </si>
  <si>
    <t>Motif obligatoire, marquée « Attribution admin », apprenant notifié, action journalisée</t>
  </si>
  <si>
    <t>ADM-14</t>
  </si>
  <si>
    <t>Export de la liste</t>
  </si>
  <si>
    <t>Export de la liste des apprenants</t>
  </si>
  <si>
    <t>ADM-15</t>
  </si>
  <si>
    <t>Demandes et statistiques</t>
  </si>
  <si>
    <t>File des demandes, actions de traitement, statistiques de conversion</t>
  </si>
  <si>
    <t>ADM-16</t>
  </si>
  <si>
    <t>/admin/formateurs</t>
  </si>
  <si>
    <t>Formateurs et candidatures</t>
  </si>
  <si>
    <t>Profils, bascule coaching privé, candidature → création du compte (lien 72 h ou mot de passe temporaire)</t>
  </si>
  <si>
    <t>ADM-17</t>
  </si>
  <si>
    <t>/admin/performances</t>
  </si>
  <si>
    <t>Indicateurs d'audience</t>
  </si>
  <si>
    <t>Six indicateurs affichent « — » tant que GA4 n'est pas branché, sans chiffre inventé</t>
  </si>
  <si>
    <t>Connexion avec GA4 avant</t>
  </si>
  <si>
    <t>ADM-18</t>
  </si>
  <si>
    <t>Onglets Funnel, Ventes, Visites, Clients</t>
  </si>
  <si>
    <t>Détail par onglet une fois Google Tag Manager connecté</t>
  </si>
  <si>
    <t>ADM-19</t>
  </si>
  <si>
    <t>/admin/revenus</t>
  </si>
  <si>
    <t>Revenus</t>
  </si>
  <si>
    <t>CA, frais, répartition Big Five / formateurs sur la période</t>
  </si>
  <si>
    <t>ADM-20</t>
  </si>
  <si>
    <t>Transactions</t>
  </si>
  <si>
    <t>Réservé à l'administrateur supérieur : l'API répond 403 aux autres et l'écran affiche le bloc verrouillé</t>
  </si>
  <si>
    <t>Page bien existante via le chemin d'accès, mais accès réservé qu'aux profils supérieurs, comment tester ? (comment y accéder directement), est-ce que ne pas mettre un menu déroulant dans paramètres permettant de voir les options qui y sont affiliées (Impossible d'accéder à l'espace admin supérieur avec les ID : admin@bigfive.ci)</t>
  </si>
  <si>
    <t>ADM-21</t>
  </si>
  <si>
    <t>/admin/tracking</t>
  </si>
  <si>
    <t>Tracking et pixels</t>
  </si>
  <si>
    <t>Verrouillé par défaut, déverrouillage par ressaisie du mot de passe, chaque changement journalisé avec son ancienne valeur — jamais les secrets</t>
  </si>
  <si>
    <t>Est-ce que ne pas mettre un menu déroulant dans paramètres permettant de voir les options (Tracking et pixels) qui y sont affiliées (j'ai retrouvé la page via le chemin d'accès)</t>
  </si>
  <si>
    <t>ADM-22</t>
  </si>
  <si>
    <t>/admin/acces</t>
  </si>
  <si>
    <t>Droits par section</t>
  </si>
  <si>
    <t>17 sections attribuables une à une ; une section non cochée est masquée dans la navigation et l'API répond 403</t>
  </si>
  <si>
    <t>Le chemin d'accès ne fonctionne pas (réservé certainement à admin supérieur)</t>
  </si>
  <si>
    <t>ADM-23</t>
  </si>
  <si>
    <t>Droits réservés</t>
  </si>
  <si>
    <t>Transactions et Référencement avancé ne peuvent être accordés que par un administrateur supérieur</t>
  </si>
  <si>
    <t xml:space="preserve">Impossible d'y accéder avec les accès </t>
  </si>
  <si>
    <t>ADM-24</t>
  </si>
  <si>
    <t>Auto-révocation impossible</t>
  </si>
  <si>
    <t>Un compte ne peut pas se retirer ses propres droits</t>
  </si>
  <si>
    <t>ADM-25</t>
  </si>
  <si>
    <t>/admin/historique</t>
  </si>
  <si>
    <t>Historique et restauration</t>
  </si>
  <si>
    <t>Toute écriture enregistre l'état précédent ; la restauration réécrit l'objet et est elle-même journalisée</t>
  </si>
  <si>
    <t>ADM-26</t>
  </si>
  <si>
    <t>Paramètres financiers</t>
  </si>
  <si>
    <t>Prix, frais de paiement et répartition réservés à l'administrateur supérieur</t>
  </si>
  <si>
    <t>Impossible d'y accéder avec les accès admin@bigfive.ci</t>
  </si>
  <si>
    <t>ADM-27</t>
  </si>
  <si>
    <t>/admin/referencement</t>
  </si>
  <si>
    <t>Onglet Référencement</t>
  </si>
  <si>
    <t>Liste des pages indexables filtrable par type (accueil, programmes, modules, formateurs, pages, articles) avec édition du SEO</t>
  </si>
  <si>
    <t>SEC-01</t>
  </si>
  <si>
    <t>Sécurité</t>
  </si>
  <si>
    <t>/connexion</t>
  </si>
  <si>
    <t>Connexion</t>
  </si>
  <si>
    <t>E-mail et mot de passe, message d'erreur non bavard</t>
  </si>
  <si>
    <t>Planche C — connexion sécurisée</t>
  </si>
  <si>
    <t>SEC-02</t>
  </si>
  <si>
    <t>server/utils/motDePasse.ts</t>
  </si>
  <si>
    <t>Hachage des mots de passe</t>
  </si>
  <si>
    <t>scrypt, sel par compte, comparaison à temps constant</t>
  </si>
  <si>
    <t>SEC-03</t>
  </si>
  <si>
    <t>server/utils/session.ts</t>
  </si>
  <si>
    <t>Cookie de session</t>
  </si>
  <si>
    <t>Chiffré et signé, Secure dès que la requête est en HTTPS</t>
  </si>
  <si>
    <t>SEC-04</t>
  </si>
  <si>
    <t>table connexions</t>
  </si>
  <si>
    <t>Journal des tentatives</t>
  </si>
  <si>
    <t>E-mail, IP, appareil et horodatage enregistrés à chaque tentative</t>
  </si>
  <si>
    <t>SEC-05</t>
  </si>
  <si>
    <t>enregistrer_tentative_connexion()</t>
  </si>
  <si>
    <t>Verrouillage</t>
  </si>
  <si>
    <t>5 échecs en 30 minutes verrouillent le compte 30 minutes, avec entrée au journal</t>
  </si>
  <si>
    <t>SEC-06</t>
  </si>
  <si>
    <t>Révocation immédiate</t>
  </si>
  <si>
    <t>Le compte est relu en base à chaque requête : retirer un droit prend effet sans attendre l'expiration de la session</t>
  </si>
  <si>
    <t>SEC-07</t>
  </si>
  <si>
    <t>/mot-de-passe-oublie</t>
  </si>
  <si>
    <t>Réinitialisation</t>
  </si>
  <si>
    <t>Lien à usage unique valable 30 minutes, envoyé par e-mail à l'apprenant</t>
  </si>
  <si>
    <t>SEC-08</t>
  </si>
  <si>
    <t>table codes_verification</t>
  </si>
  <si>
    <t>Double vérification apprenant</t>
  </si>
  <si>
    <t>Code à 6 chiffres par e-mail et WhatsApp à la connexion — table en place, étape non activée</t>
  </si>
  <si>
    <t>SEC-09</t>
  </si>
  <si>
    <t>Supabase</t>
  </si>
  <si>
    <t>Sécurité au niveau des lignes</t>
  </si>
  <si>
    <t>RLS activé sur toutes les tables, la clé publique n'a accès à rien</t>
  </si>
  <si>
    <t>Migration 03</t>
  </si>
  <si>
    <t>SEC-10</t>
  </si>
  <si>
    <t>.env</t>
  </si>
  <si>
    <t>Clés secrètes</t>
  </si>
  <si>
    <t>Clé secrète Supabase côté serveur uniquement, NUXT_SESSION_PASSWORD ≥ 32 caractères en production</t>
  </si>
  <si>
    <t>README</t>
  </si>
  <si>
    <t>SEC-11</t>
  </si>
  <si>
    <t>Comptes de démonstration</t>
  </si>
  <si>
    <t>Mots de passe de démonstration</t>
  </si>
  <si>
    <t>Le mot de passe commun Masterclass2026! doit être changé et retiré de l'écran de connexion avant ouverture</t>
  </si>
  <si>
    <t>TODO §4</t>
  </si>
  <si>
    <t>SEO-01</t>
  </si>
  <si>
    <t>Référencement</t>
  </si>
  <si>
    <t>Build de production</t>
  </si>
  <si>
    <t>Un seul H1 par page</t>
  </si>
  <si>
    <t>Aucune page publique ne porte deux H1</t>
  </si>
  <si>
    <t>Spéc. SEO §6</t>
  </si>
  <si>
    <t>SEO-02</t>
  </si>
  <si>
    <t>Pages privées</t>
  </si>
  <si>
    <t>noindex</t>
  </si>
  <si>
    <t>Connexion, tunnel, espaces apprenant/formateur/admin en noindex et hors sitemap</t>
  </si>
  <si>
    <t>Spéc. SEO §2</t>
  </si>
  <si>
    <t>SEO-03</t>
  </si>
  <si>
    <t>/sitemap.xml</t>
  </si>
  <si>
    <t>Sitemap</t>
  </si>
  <si>
    <t>Uniquement les URL publiées et canoniques ; brouillons et modules en préparation absents</t>
  </si>
  <si>
    <t>Spéc. SEO §8</t>
  </si>
  <si>
    <t>SEO-04</t>
  </si>
  <si>
    <t>server/middleware/redirections.ts</t>
  </si>
  <si>
    <t>Redirection 301</t>
  </si>
  <si>
    <t>Un changement de slug crée automatiquement la redirection permanente</t>
  </si>
  <si>
    <t>SEO-05</t>
  </si>
  <si>
    <t>PUT /api/admin/referencement</t>
  </si>
  <si>
    <t>Confirmation d'URL</t>
  </si>
  <si>
    <t>Modifier une URL déjà publiée exige une confirmation explicite (HTTP 428 sinon)</t>
  </si>
  <si>
    <t>Spéc. SEO §3</t>
  </si>
  <si>
    <t>SEO-06</t>
  </si>
  <si>
    <t>Doublons Title / description</t>
  </si>
  <si>
    <t>Alerte en direct lorsqu'un Title ou une description duplique une autre page</t>
  </si>
  <si>
    <t>SEO-07</t>
  </si>
  <si>
    <t>useJsonLd()</t>
  </si>
  <si>
    <t>Données structurées</t>
  </si>
  <si>
    <t>Organization, Course, Person, Article, BreadcrumbList, FAQPage, ItemList, conformes au contenu visible</t>
  </si>
  <si>
    <t>Spéc. SEO §9</t>
  </si>
  <si>
    <t>SEO-08</t>
  </si>
  <si>
    <t>FilAriane.vue</t>
  </si>
  <si>
    <t>Fil d'Ariane</t>
  </si>
  <si>
    <t>Visible et structuré sur les modules, les profils et les articles</t>
  </si>
  <si>
    <t>Spéc. SEO §7</t>
  </si>
  <si>
    <t>SEO-09</t>
  </si>
  <si>
    <t>/robots.txt</t>
  </si>
  <si>
    <t>robots.txt</t>
  </si>
  <si>
    <t>Déclare le sitemap ; Disallow /formateur/ sans bloquer /formateurs</t>
  </si>
  <si>
    <t>SEO-10</t>
  </si>
  <si>
    <t>Search Console</t>
  </si>
  <si>
    <t>Soumission du sitemap</t>
  </si>
  <si>
    <t>Domaine vérifié et sitemap soumis dans la Search Console</t>
  </si>
  <si>
    <t>Spéc. SEO §12</t>
  </si>
  <si>
    <t>SEO-11</t>
  </si>
  <si>
    <t>GA4</t>
  </si>
  <si>
    <t>Mesure d'audience</t>
  </si>
  <si>
    <t>GA4 connecté avec consentement, suivi des vues programmes/modules, clics CTA, débuts d'achat et achats confirmés</t>
  </si>
  <si>
    <t>EXP-01</t>
  </si>
  <si>
    <t>Exploitation</t>
  </si>
  <si>
    <t>supabase/migrations</t>
  </si>
  <si>
    <t>Migrations appliquées</t>
  </si>
  <si>
    <t>Migrations 01 à 05, rattrapage des mots de passe et jeu de données en place — vérifié le 02/09</t>
  </si>
  <si>
    <t>TODO §2</t>
  </si>
  <si>
    <t>EXP-02</t>
  </si>
  <si>
    <t>npm run db:verifier</t>
  </si>
  <si>
    <t>Rejeu sans Docker</t>
  </si>
  <si>
    <t>Migrations, seed et fichiers en ligne rejoués sur PostgreSQL (PGlite), règles métier contrôlées</t>
  </si>
  <si>
    <t>EXP-03</t>
  </si>
  <si>
    <t>npm run typecheck</t>
  </si>
  <si>
    <t>Contrôle des types</t>
  </si>
  <si>
    <t>Aucune erreur de type — vérifié le 02/09</t>
  </si>
  <si>
    <t>EXP-04</t>
  </si>
  <si>
    <t>npm run build</t>
  </si>
  <si>
    <t>Le build passe et démarre par node .output/server/index.mjs</t>
  </si>
  <si>
    <t>EXP-05</t>
  </si>
  <si>
    <t>Hébergement</t>
  </si>
  <si>
    <t>Domaine et mise en production</t>
  </si>
  <si>
    <t>emasterclass.bigfive.ci pointé, HTTPS actif, variables d'environnement de production posées</t>
  </si>
  <si>
    <t>EXP-06</t>
  </si>
  <si>
    <t>Sauvegardes</t>
  </si>
  <si>
    <t>Politique de sauvegarde et de restauration arrêtée (l'offre gratuite ne garantit rien)</t>
  </si>
  <si>
    <t>À arbitrer</t>
  </si>
  <si>
    <t>EXP-07</t>
  </si>
  <si>
    <t>Cloudflare</t>
  </si>
  <si>
    <t>Diffusion vidéo en service</t>
  </si>
  <si>
    <t>Bucket R2 créé et Worker déployé — vérifié le 02/09</t>
  </si>
  <si>
    <t>TODO §3</t>
  </si>
  <si>
    <t>Tout ce qui n'est pas livré, et pourquoi. « Bloque l'ouverture » = la plateforme ne peut pas être ouverte au public tant que ce point n'est pas réglé.</t>
  </si>
  <si>
    <t>N°</t>
  </si>
  <si>
    <t>Catégorie</t>
  </si>
  <si>
    <t>Ce qui manque</t>
  </si>
  <si>
    <t>Conséquence aujourd'hui</t>
  </si>
  <si>
    <t>Bloque l'ouverture</t>
  </si>
  <si>
    <t>Qui le fournit</t>
  </si>
  <si>
    <t>Délai à prévoir</t>
  </si>
  <si>
    <t>Suivi</t>
  </si>
  <si>
    <t>Prestataire de paiement</t>
  </si>
  <si>
    <t>Intégration FeexPay complète : compte marchand, clés, appel d'API et retour signé</t>
  </si>
  <si>
    <t>Aucun argent n'est encaissé : la commande s'enregistre et l'accès s'ouvre, l'échange avec le prestataire est simulé</t>
  </si>
  <si>
    <t>Oui</t>
  </si>
  <si>
    <t>Client (compte) + développement</t>
  </si>
  <si>
    <t>2 à 3 semaines</t>
  </si>
  <si>
    <t>Prestataire d'envoi</t>
  </si>
  <si>
    <t>Compte e-mail transactionnel et authentification DNS du domaine (SPF, DKIM, DMARC)</t>
  </si>
  <si>
    <t>Un apprenant qui oublie son mot de passe est bloqué ; aucune confirmation d'achat, aucune attestation ni avis d'annulation n'est envoyé</t>
  </si>
  <si>
    <t>Client (compte + accès DNS)</t>
  </si>
  <si>
    <t>3 à 5 jours</t>
  </si>
  <si>
    <t>SMTP personnalisé pour Supabase Auth (code à 6 chiffres de /admin/login)</t>
  </si>
  <si>
    <t>Sur l'offre gratuite, Supabase refuse le gabarit avec code : le code s'écrit dans la sortie du serveur, la connexion admin n'est pas utilisable en production</t>
  </si>
  <si>
    <t>Client (compte SMTP)</t>
  </si>
  <si>
    <t>1 jour après le compte e-mail</t>
  </si>
  <si>
    <t>Contenu client</t>
  </si>
  <si>
    <t>Les 18 vidéos montées et validées (72 chapitres)</t>
  </si>
  <si>
    <t>2 chapitres de démonstration seulement ; le lecteur affiche « la vidéo n'est pas encore en ligne » partout ailleurs</t>
  </si>
  <si>
    <t>Client</t>
  </si>
  <si>
    <t>à arbitrer — poste le plus long</t>
  </si>
  <si>
    <t>Transcriptions des chapitres</t>
  </si>
  <si>
    <t>Le script synchronisé sous le lecteur reste vide</t>
  </si>
  <si>
    <t>Non</t>
  </si>
  <si>
    <t>avec les vidéos</t>
  </si>
  <si>
    <t>Exécuter 06-video.sql et rattrapage-videos.sql dans SQL Editor</t>
  </si>
  <si>
    <t>Le lecteur affiche « pas encore en ligne » sur tous les chapitres, y compris les démonstrations</t>
  </si>
  <si>
    <t>Développement</t>
  </si>
  <si>
    <t>2 minutes</t>
  </si>
  <si>
    <t>Prestataire visio</t>
  </si>
  <si>
    <t>Zoom Pro + application Meeting SDK (SDK Key et SDK Secret)</t>
  </si>
  <si>
    <t>La salle de coaching collectif n'est pas intégrée ; l'équipe crée la réunion à la main et transmet le lien</t>
  </si>
  <si>
    <t>1 à 2 jours</t>
  </si>
  <si>
    <t>Prestataire messagerie</t>
  </si>
  <si>
    <t>WhatsApp Business : accès Meta, vérification du +225 05 75 15 21 44, modèles de message</t>
  </si>
  <si>
    <t>Aucune notification WhatsApp ; le bouton de contact fonctionne, l'envoi automatique non</t>
  </si>
  <si>
    <t>1 à 2 semaines (validation Meta)</t>
  </si>
  <si>
    <t>Propriété GA4, conteneur GTM, vérification Search Console</t>
  </si>
  <si>
    <t>Six indicateurs de /admin/performances affichent « — » et les onglets Funnel, Ventes, Visites, Clients restent incomplets</t>
  </si>
  <si>
    <t>1 jour</t>
  </si>
  <si>
    <t>Signature de la direction en PNG à fond transparent</t>
  </si>
  <si>
    <t>L'attestation n'affiche que le trait de signature</t>
  </si>
  <si>
    <t>immédiat</t>
  </si>
  <si>
    <t>Textes juridiques validés : CGU, CGV, mentions légales, confidentialité, cookies</t>
  </si>
  <si>
    <t>Les pages légales et la case du récapitulatif d'achat portent des textes non validés — risque juridique à l'ouverture</t>
  </si>
  <si>
    <t>Client (conseil juridique)</t>
  </si>
  <si>
    <t>1 à 2 semaines</t>
  </si>
  <si>
    <t>Visuels définitifs : photos des formateurs, illustrations des modules et articles, image de partage</t>
  </si>
  <si>
    <t>Des placeholders rayés s'affichent sur le site public et dans les partages WhatsApp</t>
  </si>
  <si>
    <t>Contenu rédactionnel des 16 modules restants (2 validés)</t>
  </si>
  <si>
    <t>Les fiches suivent le gabarit avec un contenu provisoire</t>
  </si>
  <si>
    <t>à arbitrer</t>
  </si>
  <si>
    <t>Écart maquette</t>
  </si>
  <si>
    <t>Titres définitifs de 8 modules (la maquette n'en expose que 10 sur 18)</t>
  </si>
  <si>
    <t>8 titres ont été rédigés dans le même registre, à remplacer par ceux du cahier des charges</t>
  </si>
  <si>
    <t>Répartition nominative des modules entre les 3 formateurs</t>
  </si>
  <si>
    <t>La maquette annonce 4 / 3 / 4 modules mais n'en attribue que 10 ; la répartition retenue est cohérente mais reste à valider</t>
  </si>
  <si>
    <t>Changer les mots de passe des comptes de démonstration</t>
  </si>
  <si>
    <t>Un mot de passe commun, connu, écrit dans le README et affiché sur l'écran de connexion</t>
  </si>
  <si>
    <t>Double vérification à la connexion apprenant (code 6 chiffres e-mail + WhatsApp)</t>
  </si>
  <si>
    <t>La table codes_verification existe, l'étape n'est pas activée — prévue par la maquette</t>
  </si>
  <si>
    <t>Développement (après prestataire d'envoi)</t>
  </si>
  <si>
    <t>2 jours</t>
  </si>
  <si>
    <t>Onglets détaillés de Performances (Funnel, Ventes, Visites, Clients)</t>
  </si>
  <si>
    <t>Les onglets existent mais attendent les données GA4</t>
  </si>
  <si>
    <t>Développement (après GA4)</t>
  </si>
  <si>
    <t>3 jours</t>
  </si>
  <si>
    <t>Pilote d'envoi réel dans server/utils/notifications.ts</t>
  </si>
  <si>
    <t>Tous les points d'appel sont en place, le pilote écrit en console</t>
  </si>
  <si>
    <t>Développement (après prestataire)</t>
  </si>
  <si>
    <t>Webhook de retour FeexPay, idempotent et signé</t>
  </si>
  <si>
    <t>Aucun point d'entrée pour la notification du prestataire</t>
  </si>
  <si>
    <t>Développement (après clés)</t>
  </si>
  <si>
    <t>compris dans l'intégration</t>
  </si>
  <si>
    <t>Rapprochement quotidien des transactions avec le relevé FeexPay</t>
  </si>
  <si>
    <t>Les transactions sont enregistrées côté plateforme sans confrontation au relevé du prestataire</t>
  </si>
  <si>
    <t>Intégration du Zoom Meeting SDK dans /mon-espace/session/[id]</t>
  </si>
  <si>
    <t>L'écran annonce l'intégration à venir ; le lien de réunion est transmis à la main</t>
  </si>
  <si>
    <t>Développement (après clés Zoom)</t>
  </si>
  <si>
    <t>Relevé PDF des revenus formateur</t>
  </si>
  <si>
    <t>Les chiffres sont à l'écran, l'export n'existe pas</t>
  </si>
  <si>
    <t>La liste est consultable, l'export n'existe pas</t>
  </si>
  <si>
    <t>Réordonnancement des contenus par glisser-déposer</t>
  </si>
  <si>
    <t>L'ordre se règle par les positions saisies</t>
  </si>
  <si>
    <t>Domaine de production, HTTPS et variables d'environnement de production</t>
  </si>
  <si>
    <t>La plateforme n'est pas encore exposée sur emasterclass.bigfive.ci</t>
  </si>
  <si>
    <t>Client + développement</t>
  </si>
  <si>
    <t>Politique de sauvegarde et de restauration Supabase</t>
  </si>
  <si>
    <t>L'offre gratuite ne garantit ni sauvegarde ni restauration</t>
  </si>
  <si>
    <t>Client (arbitrage d'offre)</t>
  </si>
  <si>
    <t>Recette</t>
  </si>
  <si>
    <t>Relevé de présence après chaque séance</t>
  </si>
  <si>
    <t>Sans ce relevé, les taux de présence affichés aux formateurs restent vides</t>
  </si>
  <si>
    <t>Équipe Big Five (exploitation)</t>
  </si>
  <si>
    <t>en continu</t>
  </si>
  <si>
    <t>Total des points manquants : 28, dont 14 bloquent l'ouverture au public.</t>
  </si>
  <si>
    <t>Paiement — informations FeexPay à fournir</t>
  </si>
  <si>
    <t>Poste le plus bloquant du projet. À ce jour aucune information de paiement n'a été transmise : aucune variable FEEXPAY_* n'existe dans la configuration, et l'échange avec le prestataire est simulé dans server/api/commandes.post.ts.</t>
  </si>
  <si>
    <t>Information à fournir</t>
  </si>
  <si>
    <t>Détail attendu</t>
  </si>
  <si>
    <t>Où elle sera utilisée</t>
  </si>
  <si>
    <t>Ce qui se passe sans elle</t>
  </si>
  <si>
    <t>Fournie par</t>
  </si>
  <si>
    <t>Statut</t>
  </si>
  <si>
    <t>Date de réception</t>
  </si>
  <si>
    <t>Compte marchand FeexPay</t>
  </si>
  <si>
    <t>Ouverture au nom de BigFiveAbidjan SARL : RCCM, déclaration fiscale d'existence, pièce d'identité du gérant, justificatif d'adresse</t>
  </si>
  <si>
    <t>Contrat — préalable à toute clé</t>
  </si>
  <si>
    <t>Rien ne peut être encaissé</t>
  </si>
  <si>
    <t>À fournir</t>
  </si>
  <si>
    <t>Compte de règlement</t>
  </si>
  <si>
    <t>Coordonnées du compte qui reçoit les reversements : bancaire (RIB) ou Mobile Money marchand</t>
  </si>
  <si>
    <t>Contrat FeexPay</t>
  </si>
  <si>
    <t>Les fonds encaissés ne peuvent pas être reversés</t>
  </si>
  <si>
    <t>Identifiant de boutique (shop / merchant ID)</t>
  </si>
  <si>
    <t>Chaîne fournie par FeexPay à la création de la boutique</t>
  </si>
  <si>
    <t>Variable d'environnement à créer : FEEXPAY_SHOP_ID</t>
  </si>
  <si>
    <t>Aucun appel d'API possible</t>
  </si>
  <si>
    <t>Client (console FeexPay)</t>
  </si>
  <si>
    <t>Clé d'API — environnement de test</t>
  </si>
  <si>
    <t>Token sandbox, à utiliser pendant toute la recette</t>
  </si>
  <si>
    <t>FEEXPAY_API_KEY avec FEEXPAY_MODE=sandbox</t>
  </si>
  <si>
    <t>Impossible de recetter le paiement sans mouvementer de l'argent réel</t>
  </si>
  <si>
    <t>Clé d'API — production</t>
  </si>
  <si>
    <t>Token live, transmis séparément et jamais par e-mail en clair</t>
  </si>
  <si>
    <t>FEEXPAY_API_KEY avec FEEXPAY_MODE=live, posée sur le serveur de production uniquement</t>
  </si>
  <si>
    <t>Pas de mise en production de l'encaissement</t>
  </si>
  <si>
    <t>Clé de signature du retour (webhook secret)</t>
  </si>
  <si>
    <t>Secret partagé permettant de vérifier que la notification vient bien de FeexPay</t>
  </si>
  <si>
    <t>FEEXPAY_WEBHOOK_SECRET</t>
  </si>
  <si>
    <t>Un tiers pourrait déclarer un paiement réussi : faille d'accès gratuit aux modules</t>
  </si>
  <si>
    <t>URL de retour (callback / webhook)</t>
  </si>
  <si>
    <t>À déclarer dans la console FeexPay : https://emasterclass.bigfive.ci/api/paiements/feexpay/retour (endpoint à créer)</t>
  </si>
  <si>
    <t>Console FeexPay + développement</t>
  </si>
  <si>
    <t>La plateforme n'apprend jamais qu'un paiement a abouti</t>
  </si>
  <si>
    <t>Client déclare, développement fournit l'URL</t>
  </si>
  <si>
    <t>À déclarer</t>
  </si>
  <si>
    <t>URL de redirection de l'acheteur</t>
  </si>
  <si>
    <t>Pages de retour succès et échec : /achat/paiement (succès et échec déjà gérés côté écran)</t>
  </si>
  <si>
    <t>Console FeexPay</t>
  </si>
  <si>
    <t>L'acheteur reste bloqué sur la page du prestataire</t>
  </si>
  <si>
    <t>Client déclare</t>
  </si>
  <si>
    <t>Liste blanche d'adresses IP ou de domaines</t>
  </si>
  <si>
    <t>Si FeexPay la propose : IP sortante du serveur de production et domaine appelant</t>
  </si>
  <si>
    <t>Les appels d'API sont rejetés en production</t>
  </si>
  <si>
    <t>À vérifier</t>
  </si>
  <si>
    <t>Moyens de paiement réellement activés</t>
  </si>
  <si>
    <t>Confirmer lesquels sont ouverts sur le compte : Orange Money, MTN Money, Moov Money, Wave, Djamo, Visa / Mastercard</t>
  </si>
  <si>
    <t>Écran /achat/paiement — le tunnel propose aujourd'hui Mobile Money, Wave, Djamo et Visa</t>
  </si>
  <si>
    <t>Le tunnel proposerait un moyen que le compte refuse</t>
  </si>
  <si>
    <t>À confirmer</t>
  </si>
  <si>
    <t>Taux de commission contractuel</t>
  </si>
  <si>
    <t>Pourcentage réellement facturé par FeexPay, et s'il diffère selon le moyen de paiement</t>
  </si>
  <si>
    <t>/admin/parametres — champ « Frais de paiement FeexPay (%) », réglé à 4 % par défaut</t>
  </si>
  <si>
    <t>Les revenus formateurs (CA − frais, puis 30 / 70) sont calculés sur une hypothèse</t>
  </si>
  <si>
    <t>Client (contrat)</t>
  </si>
  <si>
    <t>Frais fixes éventuels par transaction</t>
  </si>
  <si>
    <t>Montant fixe s'ajoutant au pourcentage, le cas échéant</t>
  </si>
  <si>
    <t>Calcul des revenus — server/utils/formateur.ts</t>
  </si>
  <si>
    <t>Écart entre les revenus affichés et les sommes réellement reçues</t>
  </si>
  <si>
    <t>Devise et plafonds</t>
  </si>
  <si>
    <t>Devise de règlement (XOF), montant minimum et maximum par transaction, plafond journalier</t>
  </si>
  <si>
    <t>Contrôles du tunnel d'achat</t>
  </si>
  <si>
    <t>Un achat pourrait échouer sans message compréhensible</t>
  </si>
  <si>
    <t>Périodicité de reversement</t>
  </si>
  <si>
    <t>Délai entre l'encaissement et le versement sur le compte de règlement (J+1, hebdomadaire…)</t>
  </si>
  <si>
    <t>Trésorerie et écran /admin/revenus</t>
  </si>
  <si>
    <t>Impossible d'annoncer une date de paiement aux formateurs</t>
  </si>
  <si>
    <t>Jeu de test du prestataire</t>
  </si>
  <si>
    <t>Numéros de test, codes OTP de test et scénarios d'échec fournis par FeexPay</t>
  </si>
  <si>
    <t>Recette du tunnel d'achat</t>
  </si>
  <si>
    <t>Les 6 motifs d'échec ne peuvent être recettés que sur simulation</t>
  </si>
  <si>
    <t>Client (support FeexPay)</t>
  </si>
  <si>
    <t>Documentation d'API à jour</t>
  </si>
  <si>
    <t>Version de l'API, spécification des appels et format exact de la notification de retour</t>
  </si>
  <si>
    <t>Développement de l'intégration</t>
  </si>
  <si>
    <t>Intégration à l'aveugle, risque de reprise</t>
  </si>
  <si>
    <t>Contact technique FeexPay</t>
  </si>
  <si>
    <t>Nom, e-mail et téléphone d'un interlocuteur technique chez le prestataire</t>
  </si>
  <si>
    <t>Suivi de l'intégration et incidents de production</t>
  </si>
  <si>
    <t>Aucun recours en cas de blocage ou d'incident d'encaissement</t>
  </si>
  <si>
    <t>Politique de remboursement</t>
  </si>
  <si>
    <t>Procédure de remboursement ou d'annulation d'une transaction, et qui la déclenche</t>
  </si>
  <si>
    <t>Procédure d'exploitation + écran /admin/transactions</t>
  </si>
  <si>
    <t>Aucune conduite à tenir face à une réclamation d'apprenant</t>
  </si>
  <si>
    <t>Facture et mentions légales de vente</t>
  </si>
  <si>
    <t>Modèle de facture, mentions TVA, conditions de vente à afficher au récapitulatif</t>
  </si>
  <si>
    <t>/achat/recapitulatif et CGV</t>
  </si>
  <si>
    <t>Vente en ligne sans document comptable conforme</t>
  </si>
  <si>
    <t>Ce qui est déjà en place côté plateforme</t>
  </si>
  <si>
    <t>• Le tunnel d'achat complet : compte, récapitulatif, choix du moyen de paiement (Mobile Money, Wave, Djamo, Visa).</t>
  </si>
  <si>
    <t>• L'enregistrement de la commande, de la transaction et l'ouverture des accès en une seule opération.</t>
  </si>
  <si>
    <t>• Les six motifs d'échec du prestataire (solde insuffisant, annulation, délai dépassé, réseau opérateur, carte refusée, erreur inconnue), tracés et filtrables dans /admin/transactions.</t>
  </si>
  <si>
    <t>• Le taux de frais FeexPay paramétrable dans /admin/parametres, utilisé par le calcul des revenus formateurs (CA − frais, puis 30 % formateur / 70 % Big Five).</t>
  </si>
  <si>
    <t>Ce qui reste à développer une fois les clés reçues</t>
  </si>
  <si>
    <t>• L'appel réel à l'API FeexPay au lieu de l'échange simulé, et la redirection de l'acheteur.</t>
  </si>
  <si>
    <t>• L'endpoint public de retour (webhook), vérifié par signature et idempotent — un même paiement notifié deux fois ne doit ouvrir l'accès qu'une fois.</t>
  </si>
  <si>
    <t>• Le rapprochement quotidien entre les transactions de la plateforme et le relevé du prestataire.</t>
  </si>
  <si>
    <t>• La recette du tunnel sur l'environnement de test du prestataire, avec les six motifs d'échec réels.</t>
  </si>
  <si>
    <t>Transmission des clés : les clés de production ne doivent jamais circuler par e-mail en clair. Les déposer directement dans les variables d'environnement du serveur de production, ou les transmettre par un canal chiffré à usage unique.</t>
  </si>
  <si>
    <t>Comptes prestataires et clés</t>
  </si>
  <si>
    <t>Ce qui est déjà en service, et ce qui manque. Le détail du paiement est dans l'onglet « Paiement — FeexPay ».</t>
  </si>
  <si>
    <t>Prestataire / compte</t>
  </si>
  <si>
    <t>Ce qu'il faut ouvrir ou fournir</t>
  </si>
  <si>
    <t>Où cela se règle</t>
  </si>
  <si>
    <t>Remarque</t>
  </si>
  <si>
    <t>Supabase (base de données)</t>
  </si>
  <si>
    <t>Projet hébergé, URL et clé secrète sb_secret_…</t>
  </si>
  <si>
    <t>SUPABASE_URL, SUPABASE_SECRET_KEY</t>
  </si>
  <si>
    <t>Fourni — en service</t>
  </si>
  <si>
    <t>Migrations 01 à 05 appliquées et vérifiées le 02/09</t>
  </si>
  <si>
    <t>Cloudflare R2 + Worker (vidéo)</t>
  </si>
  <si>
    <t>Bucket, Worker déployé, secret de signature partagé</t>
  </si>
  <si>
    <t>VIDEO_BASE_URL, VIDEO_SIGNING_SECRET</t>
  </si>
  <si>
    <t>Vérifié le 02/09 : les démonstrations se lisent depuis le CDN, le cloisonnement des chapitres tient</t>
  </si>
  <si>
    <t>Envoi d'e-mails transactionnels</t>
  </si>
  <si>
    <t>Compte Brevo, Resend, Postmark ou SMTP de l'hébergeur + SPF, DKIM, DMARC sur bigfive.ci</t>
  </si>
  <si>
    <t>NOTIFICATIONS_DRIVER, SMTP_HOST, SMTP_USER, SMTP_PASS, SMTP_EXPEDITEUR</t>
  </si>
  <si>
    <t>À fournir — bloquant</t>
  </si>
  <si>
    <t>Débloque réinitialisation, confirmation d'achat, envoi d'attestation, avis d'annulation</t>
  </si>
  <si>
    <t>Supabase Auth — SMTP personnalisé</t>
  </si>
  <si>
    <t>Le même compte SMTP, plus un jeton d'accès personnel Supabase</t>
  </si>
  <si>
    <t>SUPABASE_ACCESS_TOKEN puis npm run auth:configurer, CODE_ADMIN_FOURNISSEUR=supabase-auth</t>
  </si>
  <si>
    <t>Sans lui, le code de /admin/login reste écrit dans la sortie du serveur</t>
  </si>
  <si>
    <t>FeexPay (encaissement)</t>
  </si>
  <si>
    <t>Voir l'onglet « Paiement — FeexPay » : compte marchand, clés test et production, secret de webhook, URL de retour</t>
  </si>
  <si>
    <t>Variables à créer : FEEXPAY_SHOP_ID, FEEXPAY_API_KEY, FEEXPAY_MODE, FEEXPAY_WEBHOOK_SECRET</t>
  </si>
  <si>
    <t>Aucune variable FeexPay n'existe à ce jour dans la configuration : l'intégration reste entièrement à faire</t>
  </si>
  <si>
    <t>Zoom (coaching collectif)</t>
  </si>
  <si>
    <t>Compte Zoom Pro et application « Meeting SDK »</t>
  </si>
  <si>
    <t>SDK Key et SDK Secret (variables à créer)</t>
  </si>
  <si>
    <t>En attendant, l'équipe crée la réunion à la main et transmet le lien</t>
  </si>
  <si>
    <t>WhatsApp Business (notifications)</t>
  </si>
  <si>
    <t>Accès Meta direct ou via 360dialog / Twilio / Vonage, numéro vérifié, modèles validés</t>
  </si>
  <si>
    <t>Identifiants du numéro et du compte, jeton permanent</t>
  </si>
  <si>
    <t>Meta met 1 à 2 semaines à valider les modèles — à lancer tôt</t>
  </si>
  <si>
    <t>Google Analytics 4 et Search Console</t>
  </si>
  <si>
    <t>Propriété GA4, conteneur GTM, domaine vérifié</t>
  </si>
  <si>
    <t>Saisie dans /admin/tracking, écran déjà prêt</t>
  </si>
  <si>
    <t>Débloque les six indicateurs à « — » de /admin/performances</t>
  </si>
  <si>
    <t>Domaine et hébergement de production</t>
  </si>
  <si>
    <t>emasterclass.bigfive.ci pointé, certificat HTTPS, variables d'environnement posées</t>
  </si>
  <si>
    <t>NUXT_PUBLIC_SITE_URL, NUXT_SESSION_PASSWORD</t>
  </si>
  <si>
    <t>NUXT_PUBLIC_SITE_URL alimente les canonical, le sitemap et le lien de vérification des attestations</t>
  </si>
  <si>
    <t>Conformité aux spécifications SEO</t>
  </si>
  <si>
    <t>Reprise du document « Spécifications SEO développeur » transmis avec l'e-mail de lancement (maquettes/specifications/03_Specifications_SEO.md).</t>
  </si>
  <si>
    <t>Point de la spéc.</t>
  </si>
  <si>
    <t>Exigence</t>
  </si>
  <si>
    <t>Où c'est implémenté</t>
  </si>
  <si>
    <t>Réserve</t>
  </si>
  <si>
    <t>§1</t>
  </si>
  <si>
    <t>Pages indexables : accueil, programmes, modules publiés, formateurs, devenir formateur, contact, blog</t>
  </si>
  <si>
    <t>nuxt.config.ts (robots, sitemap) + usePagePrivee() par page</t>
  </si>
  <si>
    <t>§2</t>
  </si>
  <si>
    <t>Pages non indexables : authentification, tunnel, dashboards, contenus privés</t>
  </si>
  <si>
    <t>noindex et exclusion du sitemap vérifiés sur le build de production</t>
  </si>
  <si>
    <t>§3</t>
  </si>
  <si>
    <t>Onglet back-office « Référencement et partage »</t>
  </si>
  <si>
    <t>app/pages/admin/referencement.vue + server/api/admin/referencement.*</t>
  </si>
  <si>
    <t>Champs éditables par les administrateurs de contenu (mot-clé, Title, description, Open Graph, alt)</t>
  </si>
  <si>
    <t>Éditeur de module et éditeur d'article, panneau Référencement</t>
  </si>
  <si>
    <t>Champs réservés aux administrateurs supérieurs (slug, indexation, canonical)</t>
  </si>
  <si>
    <t>Filtrés côté serveur selon le rôle, désactivés côté interface</t>
  </si>
  <si>
    <t>Alerte sur les doublons Title / Meta description</t>
  </si>
  <si>
    <t>detecterDoublons() dans server/utils/seo.ts, alerte en direct</t>
  </si>
  <si>
    <t>Confirmation avant modification d'une URL publiée</t>
  </si>
  <si>
    <t>confirmationSlug exigé par l'API, HTTP 428 sinon</t>
  </si>
  <si>
    <t>§4</t>
  </si>
  <si>
    <t>Valeurs automatiques, jamais de meta keywords</t>
  </si>
  <si>
    <t>usePageSeo() et resoudreSeo()</t>
  </si>
  <si>
    <t>§5</t>
  </si>
  <si>
    <t>Statuts brouillon / publié / en préparation</t>
  </si>
  <si>
    <t>Champ statut, exclusion du sitemap et des listes publiques</t>
  </si>
  <si>
    <t>Redirection 301 au changement de slug</t>
  </si>
  <si>
    <t>§6</t>
  </si>
  <si>
    <t>Un seul H1, hiérarchie logique, rendu serveur</t>
  </si>
  <si>
    <t>Vérifié sur le build de production</t>
  </si>
  <si>
    <t>Carrousel accessible : clavier, pause au survol, glissement tactile</t>
  </si>
  <si>
    <t>app/components/home/HeroCarousel.vue</t>
  </si>
  <si>
    <t>§7</t>
  </si>
  <si>
    <t>URLs et fil d'Ariane</t>
  </si>
  <si>
    <t>Arborescence conforme + FilAriane.vue / useFilAriane()</t>
  </si>
  <si>
    <t>§8</t>
  </si>
  <si>
    <t>Sitemap XML et robots.txt</t>
  </si>
  <si>
    <t>server/api/__sitemap__/urls.get.ts ; Disallow /formateur/ sans bloquer /formateurs</t>
  </si>
  <si>
    <t>Soumission du sitemap dans la Search Console</t>
  </si>
  <si>
    <t>À faire une fois le domaine vérifié</t>
  </si>
  <si>
    <t>Demande l'accès Search Console</t>
  </si>
  <si>
    <t>§9</t>
  </si>
  <si>
    <t>Données structurées JSON-LD</t>
  </si>
  <si>
    <t>nuxt-schema-org (Organization) + useJsonLd() : Course, Person, Article, BreadcrumbList, FAQPage, ItemList</t>
  </si>
  <si>
    <t>Test avec Rich Results Test et Schema Markup Validator</t>
  </si>
  <si>
    <t>À faire sur l'URL de production</t>
  </si>
  <si>
    <t>Ne peut se faire qu'en ligne</t>
  </si>
  <si>
    <t>§10</t>
  </si>
  <si>
    <t>Images responsives, WebP/AVIF, alt éditable, Open Graph par page</t>
  </si>
  <si>
    <t>@nuxt/image, alt éditable en back-office, Open Graph par page</t>
  </si>
  <si>
    <t>Les visuels définitifs manquent : placeholders rayés</t>
  </si>
  <si>
    <t>§11</t>
  </si>
  <si>
    <t>Contenu identique desktop / mobile / PWA, pas d'URL mobile séparée</t>
  </si>
  <si>
    <t>Rendu serveur unique</t>
  </si>
  <si>
    <t>Core Web Vitals suivis</t>
  </si>
  <si>
    <t>Mesure à mettre en place après la mise en production</t>
  </si>
  <si>
    <t>Demande GA4 et le domaine de production</t>
  </si>
  <si>
    <t>§12</t>
  </si>
  <si>
    <t>Search Console et GA4 connectés, suivi des événements clés</t>
  </si>
  <si>
    <t>/admin/tracking prêt à recevoir les identifiants</t>
  </si>
  <si>
    <t>Six indicateurs affichent « — » en attendant</t>
  </si>
  <si>
    <t>§13</t>
  </si>
  <si>
    <t>Permissions : contenu vs administrateur supérieur</t>
  </si>
  <si>
    <t>exigerAdmin(event, superieur), exigerFormateur(event), 17 sections</t>
  </si>
  <si>
    <t>§14</t>
  </si>
  <si>
    <t>Hors périmètre : pas de meta keywords, sitemap/canonical/redirections automatiques</t>
  </si>
  <si>
    <t>Respecté</t>
  </si>
  <si>
    <t>Couverture de l'e-mail de lancement</t>
  </si>
  <si>
    <t>Les points transmis au démarrage du développement, et leur traitement.</t>
  </si>
  <si>
    <t>Point de l'e-mail</t>
  </si>
  <si>
    <t>Demande du client</t>
  </si>
  <si>
    <t>Ce qui a été fait</t>
  </si>
  <si>
    <t>Ce qui reste ouvert</t>
  </si>
  <si>
    <t>1</t>
  </si>
  <si>
    <t>Arborescence et flux de navigation (planche E)</t>
  </si>
  <si>
    <t>Les 6 parcours sont implémentés : achat, coaching collectif, coaching privé, mise en ligne d'un module, publication d'un article, candidature → formateur</t>
  </si>
  <si>
    <t>Traité</t>
  </si>
  <si>
    <t>Parcours 01 et 02 dépendent de FeexPay et de Zoom pour être complets en production</t>
  </si>
  <si>
    <t>2</t>
  </si>
  <si>
    <t>Handoff de la maquette</t>
  </si>
  <si>
    <t>Planches A à D reproduites, jetons de couleur repris (violet #80368D, bleu #29358B), motif et logo intégrés</t>
  </si>
  <si>
    <t>5 écarts assumés documentés dans le README : titres de 8 modules, répartition formateurs, visuels, textes des modules, responsive traité en points de rupture</t>
  </si>
  <si>
    <t>3</t>
  </si>
  <si>
    <t>Numéro WhatsApp +225 05 75 15 21 44</t>
  </si>
  <si>
    <t>Centralisé dans shared/utils/contact.ts, lien https://wa.me/2250575152144 ; utilisé par le bouton flottant, le pied de page, l'accueil, la FAQ, les fiches modules et formateurs, le partage d'articles</t>
  </si>
  <si>
    <t>L'envoi automatique de messages WhatsApp demande encore un compte WhatsApp Business</t>
  </si>
  <si>
    <t>4</t>
  </si>
  <si>
    <t>Attestation de participation</t>
  </si>
  <si>
    <t>Squelette repris (variables dynamiques), visuel de référence reproduit, numérotation EMBF-…, QR de vérification, export PDF A4 paysage</t>
  </si>
  <si>
    <t>Traité — sauf la signature</t>
  </si>
  <si>
    <t>La griffe de la direction en PNG à fond transparent n'a pas été fournie ; l'envoi par e-mail attend le prestataire</t>
  </si>
  <si>
    <t>5</t>
  </si>
  <si>
    <t>Spécifications SEO</t>
  </si>
  <si>
    <t>Points §1 à §14 traités ; voir l'onglet « Conformité SEO » pour le détail ligne à ligne</t>
  </si>
  <si>
    <t>Les points de mesure (§8 soumission, §12 GA4/Search Console) attendent les accès</t>
  </si>
  <si>
    <t>5 bis</t>
  </si>
  <si>
    <t>Onglet référencement dans l'interface admin</t>
  </si>
  <si>
    <t>/admin/referencement : pages indexables filtrables par type, édition du SEO, droits séparés contenu / supérieur</t>
  </si>
  <si>
    <t>5 ter</t>
  </si>
  <si>
    <t>Section Blog</t>
  </si>
  <si>
    <t>/blog, /blog/[slug], /admin/blog et éditeur d'article avec panneau de référencement</t>
  </si>
  <si>
    <t>5 articles de démonstration ; le contenu éditorial définitif reste à fournir</t>
  </si>
  <si>
    <t>6</t>
  </si>
  <si>
    <t>Typographies Jost et Mulish</t>
  </si>
  <si>
    <t>Jost 300/400/500/600 pour les titres, Mulish 400/600/700/800 pour les textes, auto-hébergées via @nuxt/fonts ; plus aucune trace de Century Gothic ni de Nicky Sans</t>
  </si>
  <si>
    <t>Documents de référence reçus : arborescence des parcours (planche E), handoff de la maquette (planches A à D), squelette et visuel de l'attestation, spécifications SEO. Tous ont été exploités ; les planches A à D et le modèle d'attestation sont archivés dans maquettes/ du dépôt.</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</si>
</sst>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8.0"/>
      <color rgb="FF80368D"/>
      <name val="Arial"/>
    </font>
    <font>
      <i/>
      <sz val="9.0"/>
      <color rgb="FF6D6A75"/>
      <name val="Arial"/>
    </font>
    <font>
      <b/>
      <sz val="10.0"/>
      <color rgb="FF17151C"/>
      <name val="Arial"/>
    </font>
    <font>
      <sz val="10.0"/>
      <color rgb="FF17151C"/>
      <name val="Arial"/>
    </font>
    <font>
      <b/>
      <sz val="11.0"/>
      <color rgb="FF17151C"/>
      <name val="Arial"/>
    </font>
    <font>
      <b/>
      <sz val="10.0"/>
      <color rgb="FFFFFFFF"/>
      <name val="Arial"/>
    </font>
    <font>
      <sz val="11.0"/>
      <color theme="1"/>
      <name val="Calibri"/>
    </font>
    <font>
      <b/>
      <sz val="12.0"/>
      <color rgb="FFB3261E"/>
      <name val="Arial"/>
    </font>
    <font>
      <b/>
      <sz val="16.0"/>
      <color rgb="FF17151C"/>
      <name val="Arial"/>
    </font>
    <font>
      <u/>
      <sz val="10.0"/>
      <color rgb="FF17151C"/>
      <name val="Arial"/>
    </font>
    <font>
      <u/>
      <sz val="10.0"/>
      <color rgb="FF17151C"/>
      <name val="Arial"/>
    </font>
    <font>
      <b/>
      <sz val="10.0"/>
      <color rgb="FFB3261E"/>
      <name val="Arial"/>
    </font>
  </fonts>
  <fills count="8">
    <fill>
      <patternFill patternType="none"/>
    </fill>
    <fill>
      <patternFill patternType="lightGray"/>
    </fill>
    <fill>
      <patternFill patternType="solid">
        <fgColor rgb="FF80368D"/>
        <bgColor rgb="FF80368D"/>
      </patternFill>
    </fill>
    <fill>
      <patternFill patternType="solid">
        <fgColor rgb="FFE6F4EA"/>
        <bgColor rgb="FFE6F4EA"/>
      </patternFill>
    </fill>
    <fill>
      <patternFill patternType="solid">
        <fgColor rgb="FFFFF4DA"/>
        <bgColor rgb="FFFFF4DA"/>
      </patternFill>
    </fill>
    <fill>
      <patternFill patternType="solid">
        <fgColor rgb="FFFDE7E7"/>
        <bgColor rgb="FFFDE7E7"/>
      </patternFill>
    </fill>
    <fill>
      <patternFill patternType="solid">
        <fgColor rgb="FFF3F0F8"/>
        <bgColor rgb="FFF3F0F8"/>
      </patternFill>
    </fill>
    <fill>
      <patternFill patternType="solid">
        <fgColor rgb="FF29358B"/>
        <bgColor rgb="FF29358B"/>
      </patternFill>
    </fill>
  </fills>
  <borders count="2">
    <border/>
    <border>
      <left style="thin">
        <color rgb="FFDCD7E6"/>
      </left>
      <right style="thin">
        <color rgb="FFDCD7E6"/>
      </right>
      <top style="thin">
        <color rgb="FFDCD7E6"/>
      </top>
      <bottom style="thin">
        <color rgb="FFDCD7E6"/>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left" shrinkToFit="0" vertical="top" wrapText="1"/>
    </xf>
    <xf borderId="0" fillId="0" fontId="5" numFmtId="0" xfId="0" applyFont="1"/>
    <xf borderId="0" fillId="0" fontId="2" numFmtId="0" xfId="0" applyAlignment="1" applyFont="1">
      <alignment horizontal="left" shrinkToFit="0" vertical="top" wrapText="1"/>
    </xf>
    <xf borderId="1" fillId="2" fontId="6" numFmtId="0" xfId="0" applyAlignment="1" applyBorder="1" applyFill="1" applyFont="1">
      <alignment horizontal="center" shrinkToFit="0" vertical="center" wrapText="1"/>
    </xf>
    <xf borderId="1" fillId="3" fontId="3" numFmtId="0" xfId="0" applyAlignment="1" applyBorder="1" applyFill="1" applyFont="1">
      <alignmen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1" fillId="4" fontId="3" numFmtId="0" xfId="0" applyAlignment="1" applyBorder="1" applyFill="1" applyFont="1">
      <alignment shrinkToFit="0" vertical="top" wrapText="1"/>
    </xf>
    <xf borderId="1" fillId="5" fontId="3" numFmtId="0" xfId="0" applyAlignment="1" applyBorder="1" applyFill="1" applyFont="1">
      <alignment shrinkToFit="0" vertical="top" wrapText="1"/>
    </xf>
    <xf borderId="1" fillId="6" fontId="3" numFmtId="0" xfId="0" applyBorder="1" applyFill="1" applyFont="1"/>
    <xf borderId="1" fillId="6" fontId="3" numFmtId="0" xfId="0" applyAlignment="1" applyBorder="1" applyFill="1" applyFont="1">
      <alignment horizontal="center" shrinkToFit="0" vertical="center" wrapText="1"/>
    </xf>
    <xf borderId="1" fillId="6" fontId="7" numFmtId="0" xfId="0" applyBorder="1" applyFill="1" applyFont="1"/>
    <xf borderId="1" fillId="7" fontId="6" numFmtId="0" xfId="0" applyAlignment="1" applyBorder="1" applyFill="1" applyFont="1">
      <alignment horizontal="center" shrinkToFit="0" vertical="center" wrapText="1"/>
    </xf>
    <xf borderId="1" fillId="0" fontId="4" numFmtId="0" xfId="0" applyBorder="1" applyFont="1"/>
    <xf borderId="0" fillId="0" fontId="8" numFmtId="0" xfId="0" applyFont="1"/>
    <xf borderId="0" fillId="0" fontId="9" numFmtId="0" xfId="0" applyFont="1"/>
    <xf borderId="1" fillId="3" fontId="4" numFmtId="0" xfId="0" applyAlignment="1" applyBorder="1" applyFill="1" applyFont="1">
      <alignment shrinkToFit="0" vertical="top" wrapText="1"/>
    </xf>
    <xf borderId="1" fillId="0" fontId="4" numFmtId="0" xfId="0" applyAlignment="1" applyBorder="1" applyFont="1">
      <alignment horizontal="center" readingOrder="0" shrinkToFit="0" vertical="center" wrapText="1"/>
    </xf>
    <xf borderId="1" fillId="0" fontId="4" numFmtId="0" xfId="0" applyAlignment="1" applyBorder="1" applyFont="1">
      <alignment readingOrder="0" shrinkToFit="0" vertical="top" wrapText="1"/>
    </xf>
    <xf borderId="1" fillId="5" fontId="4" numFmtId="0" xfId="0" applyAlignment="1" applyBorder="1" applyFill="1" applyFont="1">
      <alignment horizontal="center" shrinkToFit="0" vertical="center" wrapText="1"/>
    </xf>
    <xf borderId="1" fillId="0" fontId="10" numFmtId="0" xfId="0" applyAlignment="1" applyBorder="1" applyFont="1">
      <alignment readingOrder="0" shrinkToFit="0" vertical="top" wrapText="1"/>
    </xf>
    <xf borderId="1" fillId="4" fontId="4" numFmtId="0" xfId="0" applyAlignment="1" applyBorder="1" applyFill="1" applyFont="1">
      <alignment shrinkToFit="0" vertical="top" wrapText="1"/>
    </xf>
    <xf borderId="1" fillId="5" fontId="4" numFmtId="0" xfId="0" applyAlignment="1" applyBorder="1" applyFill="1" applyFont="1">
      <alignment shrinkToFit="0" vertical="top" wrapText="1"/>
    </xf>
    <xf borderId="1" fillId="0" fontId="11" numFmtId="0" xfId="0" applyAlignment="1" applyBorder="1" applyFont="1">
      <alignment readingOrder="0" shrinkToFit="0" vertical="top" wrapText="1"/>
    </xf>
    <xf borderId="1" fillId="4" fontId="4" numFmtId="0" xfId="0" applyAlignment="1" applyBorder="1" applyFill="1" applyFont="1">
      <alignment horizontal="center" shrinkToFit="0" vertical="center" wrapText="1"/>
    </xf>
    <xf borderId="1" fillId="0" fontId="3" numFmtId="0" xfId="0" applyAlignment="1" applyBorder="1" applyFont="1">
      <alignment shrinkToFit="0" vertical="top" wrapText="1"/>
    </xf>
    <xf borderId="0" fillId="0" fontId="12" numFmtId="0" xfId="0" applyAlignment="1" applyFont="1">
      <alignment horizontal="lef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TwkA0FFDtQUHzaNdNsioVnpKoYeZ6Pda37QqgPBrp1w/edit?tab=t.0" TargetMode="External"/><Relationship Id="rId2" Type="http://schemas.openxmlformats.org/officeDocument/2006/relationships/hyperlink" Target="https://drive.google.com/file/d/1juDXqx_Flp8jwIi6daD1OVyp0MH8VEzx/view?usp=sharing" TargetMode="External"/><Relationship Id="rId3" Type="http://schemas.openxmlformats.org/officeDocument/2006/relationships/hyperlink" Target="https://drive.google.com/file/d/1jBGwBqslhKZPQAnux1ve_uHgSfY-e-Xt/view?usp=shari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6.0"/>
    <col customWidth="1" min="2" max="3" width="16.0"/>
    <col customWidth="1" min="4" max="4" width="46.0"/>
    <col customWidth="1" min="5" max="6" width="20.0"/>
    <col customWidth="1" min="7" max="26" width="8.71"/>
  </cols>
  <sheetData>
    <row r="1">
      <c r="A1" s="1" t="s">
        <v>0</v>
      </c>
    </row>
    <row r="2">
      <c r="A2" s="2" t="s">
        <v>1</v>
      </c>
    </row>
    <row r="4">
      <c r="A4" s="3" t="s">
        <v>2</v>
      </c>
      <c r="B4" s="4" t="s">
        <v>3</v>
      </c>
    </row>
    <row r="5">
      <c r="A5" s="3" t="s">
        <v>4</v>
      </c>
      <c r="B5" s="4" t="s">
        <v>5</v>
      </c>
    </row>
    <row r="6">
      <c r="A6" s="3" t="s">
        <v>6</v>
      </c>
      <c r="B6" s="4" t="s">
        <v>7</v>
      </c>
    </row>
    <row r="7">
      <c r="A7" s="3" t="s">
        <v>8</v>
      </c>
      <c r="B7" s="4" t="s">
        <v>9</v>
      </c>
    </row>
    <row r="8">
      <c r="A8" s="3" t="s">
        <v>10</v>
      </c>
      <c r="B8" s="4" t="s">
        <v>11</v>
      </c>
    </row>
    <row r="10">
      <c r="A10" s="5" t="s">
        <v>12</v>
      </c>
    </row>
    <row r="11" ht="25.5" customHeight="1">
      <c r="A11" s="3" t="s">
        <v>13</v>
      </c>
      <c r="B11" s="4" t="s">
        <v>14</v>
      </c>
    </row>
    <row r="12" ht="25.5" customHeight="1">
      <c r="A12" s="3" t="s">
        <v>15</v>
      </c>
      <c r="B12" s="4" t="s">
        <v>16</v>
      </c>
    </row>
    <row r="13" ht="25.5" customHeight="1">
      <c r="A13" s="3" t="s">
        <v>17</v>
      </c>
      <c r="B13" s="4" t="s">
        <v>18</v>
      </c>
    </row>
    <row r="14" ht="25.5" customHeight="1">
      <c r="A14" s="3" t="s">
        <v>19</v>
      </c>
      <c r="B14" s="4" t="s">
        <v>20</v>
      </c>
    </row>
    <row r="15" ht="25.5" customHeight="1">
      <c r="A15" s="3" t="s">
        <v>21</v>
      </c>
      <c r="B15" s="4" t="s">
        <v>22</v>
      </c>
    </row>
    <row r="16" ht="25.5" customHeight="1">
      <c r="A16" s="3" t="s">
        <v>23</v>
      </c>
      <c r="B16" s="4" t="s">
        <v>24</v>
      </c>
    </row>
    <row r="18">
      <c r="A18" s="5" t="s">
        <v>25</v>
      </c>
    </row>
    <row r="19" ht="24.0" customHeight="1">
      <c r="A19" s="6" t="s">
        <v>26</v>
      </c>
    </row>
    <row r="20">
      <c r="A20" s="7" t="s">
        <v>27</v>
      </c>
      <c r="B20" s="7" t="s">
        <v>28</v>
      </c>
      <c r="C20" s="7" t="s">
        <v>29</v>
      </c>
      <c r="D20" s="7" t="s">
        <v>30</v>
      </c>
    </row>
    <row r="21" ht="25.5" customHeight="1">
      <c r="A21" s="8" t="s">
        <v>31</v>
      </c>
      <c r="B21" s="9">
        <f>COUNTIF('Recette fonctionnelle'!$G:$G,$A21)</f>
        <v>115</v>
      </c>
      <c r="C21" s="9">
        <f>COUNTIFS('Recette fonctionnelle'!$G:$G,$A21,'Recette fonctionnelle'!$H:$H,"Bloquant")</f>
        <v>15</v>
      </c>
      <c r="D21" s="10" t="s">
        <v>32</v>
      </c>
    </row>
    <row r="22" ht="25.5" customHeight="1">
      <c r="A22" s="11" t="s">
        <v>33</v>
      </c>
      <c r="B22" s="9">
        <f>COUNTIF('Recette fonctionnelle'!$G:$G,$A22)</f>
        <v>2</v>
      </c>
      <c r="C22" s="9">
        <f>COUNTIFS('Recette fonctionnelle'!$G:$G,$A22,'Recette fonctionnelle'!$H:$H,"Bloquant")</f>
        <v>1</v>
      </c>
      <c r="D22" s="10" t="s">
        <v>34</v>
      </c>
    </row>
    <row r="23" ht="25.5" customHeight="1">
      <c r="A23" s="11" t="s">
        <v>35</v>
      </c>
      <c r="B23" s="9">
        <f>COUNTIF('Recette fonctionnelle'!$G:$G,$A23)</f>
        <v>4</v>
      </c>
      <c r="C23" s="9">
        <f>COUNTIFS('Recette fonctionnelle'!$G:$G,$A23,'Recette fonctionnelle'!$H:$H,"Bloquant")</f>
        <v>1</v>
      </c>
      <c r="D23" s="10" t="s">
        <v>36</v>
      </c>
    </row>
    <row r="24" ht="25.5" customHeight="1">
      <c r="A24" s="11" t="s">
        <v>37</v>
      </c>
      <c r="B24" s="9">
        <f>COUNTIF('Recette fonctionnelle'!$G:$G,$A24)</f>
        <v>2</v>
      </c>
      <c r="C24" s="9">
        <f>COUNTIFS('Recette fonctionnelle'!$G:$G,$A24,'Recette fonctionnelle'!$H:$H,"Bloquant")</f>
        <v>1</v>
      </c>
      <c r="D24" s="10" t="s">
        <v>38</v>
      </c>
    </row>
    <row r="25" ht="25.5" customHeight="1">
      <c r="A25" s="12" t="s">
        <v>39</v>
      </c>
      <c r="B25" s="9">
        <f>COUNTIF('Recette fonctionnelle'!$G:$G,$A25)</f>
        <v>7</v>
      </c>
      <c r="C25" s="9">
        <f>COUNTIFS('Recette fonctionnelle'!$G:$G,$A25,'Recette fonctionnelle'!$H:$H,"Bloquant")</f>
        <v>2</v>
      </c>
      <c r="D25" s="10" t="s">
        <v>40</v>
      </c>
    </row>
    <row r="26" ht="25.5" customHeight="1">
      <c r="A26" s="12" t="s">
        <v>41</v>
      </c>
      <c r="B26" s="9">
        <f>COUNTIF('Recette fonctionnelle'!$G:$G,$A26)</f>
        <v>4</v>
      </c>
      <c r="C26" s="9">
        <f>COUNTIFS('Recette fonctionnelle'!$G:$G,$A26,'Recette fonctionnelle'!$H:$H,"Bloquant")</f>
        <v>2</v>
      </c>
      <c r="D26" s="10" t="s">
        <v>42</v>
      </c>
    </row>
    <row r="27" ht="25.5" customHeight="1">
      <c r="A27" s="12" t="s">
        <v>43</v>
      </c>
      <c r="B27" s="9">
        <f>COUNTIF('Recette fonctionnelle'!$G:$G,$A27)</f>
        <v>12</v>
      </c>
      <c r="C27" s="9">
        <f>COUNTIFS('Recette fonctionnelle'!$G:$G,$A27,'Recette fonctionnelle'!$H:$H,"Bloquant")</f>
        <v>6</v>
      </c>
      <c r="D27" s="10" t="s">
        <v>44</v>
      </c>
    </row>
    <row r="28" ht="15.75" customHeight="1">
      <c r="A28" s="13" t="s">
        <v>45</v>
      </c>
      <c r="B28" s="14">
        <f t="shared" ref="B28:C28" si="1">SUM(B21:B27)</f>
        <v>146</v>
      </c>
      <c r="C28" s="14">
        <f t="shared" si="1"/>
        <v>28</v>
      </c>
      <c r="D28" s="15"/>
    </row>
    <row r="29" ht="15.75" customHeight="1"/>
    <row r="30" ht="15.75" customHeight="1">
      <c r="A30" s="5" t="s">
        <v>46</v>
      </c>
    </row>
    <row r="31" ht="15.75" customHeight="1">
      <c r="A31" s="16" t="s">
        <v>47</v>
      </c>
      <c r="B31" s="16" t="s">
        <v>28</v>
      </c>
    </row>
    <row r="32" ht="15.75" customHeight="1">
      <c r="A32" s="17" t="s">
        <v>48</v>
      </c>
      <c r="B32" s="9">
        <f>COUNTIF('Recette fonctionnelle'!$I:$I,$A32)</f>
        <v>64</v>
      </c>
    </row>
    <row r="33" ht="15.75" customHeight="1">
      <c r="A33" s="17" t="s">
        <v>49</v>
      </c>
      <c r="B33" s="9">
        <f>COUNTIF('Recette fonctionnelle'!$I:$I,$A33)</f>
        <v>8</v>
      </c>
    </row>
    <row r="34" ht="15.75" customHeight="1">
      <c r="A34" s="17" t="s">
        <v>50</v>
      </c>
      <c r="B34" s="9">
        <f>COUNTIF('Recette fonctionnelle'!$I:$I,$A34)</f>
        <v>22</v>
      </c>
    </row>
    <row r="35" ht="15.75" customHeight="1">
      <c r="A35" s="17" t="s">
        <v>51</v>
      </c>
      <c r="B35" s="9">
        <f>COUNTIF('Recette fonctionnelle'!$I:$I,$A35)</f>
        <v>0</v>
      </c>
    </row>
    <row r="36" ht="15.75" customHeight="1">
      <c r="A36" s="17" t="s">
        <v>52</v>
      </c>
      <c r="B36" s="9">
        <f>COUNTIF('Recette fonctionnelle'!$I:$I,$A36)</f>
        <v>52</v>
      </c>
    </row>
    <row r="37" ht="15.75" customHeight="1"/>
    <row r="38" ht="15.75" customHeight="1">
      <c r="A38" s="18" t="s">
        <v>53</v>
      </c>
    </row>
    <row r="39" ht="27.75" customHeight="1">
      <c r="A39" s="4" t="s">
        <v>54</v>
      </c>
    </row>
    <row r="40" ht="27.75" customHeight="1">
      <c r="A40" s="4" t="s">
        <v>55</v>
      </c>
    </row>
    <row r="41" ht="27.75" customHeight="1">
      <c r="A41" s="4" t="s">
        <v>56</v>
      </c>
    </row>
    <row r="42" ht="27.75" customHeight="1">
      <c r="A42" s="4" t="s">
        <v>57</v>
      </c>
    </row>
    <row r="43" ht="27.75" customHeight="1">
      <c r="A43" s="4" t="s">
        <v>58</v>
      </c>
    </row>
    <row r="44" ht="27.75" customHeight="1">
      <c r="A44" s="4" t="s">
        <v>59</v>
      </c>
    </row>
    <row r="45" ht="27.75" customHeight="1">
      <c r="A45" s="4" t="s">
        <v>60</v>
      </c>
    </row>
    <row r="46" ht="27.75" customHeight="1">
      <c r="A46" s="4" t="s">
        <v>61</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4:D4"/>
    <mergeCell ref="B5:D5"/>
    <mergeCell ref="B6:D6"/>
    <mergeCell ref="B7:D7"/>
    <mergeCell ref="B8:D8"/>
    <mergeCell ref="B11:D11"/>
    <mergeCell ref="B12:D12"/>
    <mergeCell ref="A41:D41"/>
    <mergeCell ref="A42:D42"/>
    <mergeCell ref="A43:D43"/>
    <mergeCell ref="A44:D44"/>
    <mergeCell ref="A45:D45"/>
    <mergeCell ref="A46:D46"/>
    <mergeCell ref="B13:D13"/>
    <mergeCell ref="B14:D14"/>
    <mergeCell ref="B15:D15"/>
    <mergeCell ref="B16:D16"/>
    <mergeCell ref="A19:D19"/>
    <mergeCell ref="A39:D39"/>
    <mergeCell ref="A40:D40"/>
  </mergeCells>
  <printOptions/>
  <pageMargins bottom="1.0" footer="0.0" header="0.0" left="0.75" right="0.75" top="1.0"/>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0.0"/>
    <col customWidth="1" min="3" max="3" width="30.0"/>
    <col customWidth="1" min="4" max="4" width="34.0"/>
    <col customWidth="1" min="5" max="5" width="52.0"/>
    <col customWidth="1" min="6" max="6" width="24.0"/>
    <col customWidth="1" min="7" max="7" width="22.0"/>
    <col customWidth="1" min="8" max="8" width="12.0"/>
    <col customWidth="1" min="9" max="9" width="16.0"/>
    <col customWidth="1" min="10" max="10" width="34.0"/>
    <col customWidth="1" min="11" max="26" width="8.71"/>
  </cols>
  <sheetData>
    <row r="1">
      <c r="A1" s="19" t="s">
        <v>13</v>
      </c>
    </row>
    <row r="2">
      <c r="A2" s="2" t="s">
        <v>62</v>
      </c>
    </row>
    <row r="4" ht="30.0" customHeight="1">
      <c r="A4" s="7" t="s">
        <v>63</v>
      </c>
      <c r="B4" s="7" t="s">
        <v>64</v>
      </c>
      <c r="C4" s="7" t="s">
        <v>65</v>
      </c>
      <c r="D4" s="7" t="s">
        <v>66</v>
      </c>
      <c r="E4" s="7" t="s">
        <v>67</v>
      </c>
      <c r="F4" s="7" t="s">
        <v>68</v>
      </c>
      <c r="G4" s="7" t="s">
        <v>69</v>
      </c>
      <c r="H4" s="7" t="s">
        <v>70</v>
      </c>
      <c r="I4" s="7" t="s">
        <v>71</v>
      </c>
      <c r="J4" s="7" t="s">
        <v>72</v>
      </c>
    </row>
    <row r="5">
      <c r="A5" s="10" t="s">
        <v>73</v>
      </c>
      <c r="B5" s="10" t="s">
        <v>74</v>
      </c>
      <c r="C5" s="10" t="s">
        <v>75</v>
      </c>
      <c r="D5" s="10" t="s">
        <v>76</v>
      </c>
      <c r="E5" s="10" t="s">
        <v>77</v>
      </c>
      <c r="F5" s="10" t="s">
        <v>78</v>
      </c>
      <c r="G5" s="20" t="s">
        <v>31</v>
      </c>
      <c r="H5" s="9" t="s">
        <v>79</v>
      </c>
      <c r="I5" s="21" t="s">
        <v>48</v>
      </c>
      <c r="J5" s="10"/>
    </row>
    <row r="6">
      <c r="A6" s="10" t="s">
        <v>80</v>
      </c>
      <c r="B6" s="10" t="s">
        <v>74</v>
      </c>
      <c r="C6" s="10" t="s">
        <v>75</v>
      </c>
      <c r="D6" s="10" t="s">
        <v>81</v>
      </c>
      <c r="E6" s="10" t="s">
        <v>82</v>
      </c>
      <c r="F6" s="10" t="s">
        <v>83</v>
      </c>
      <c r="G6" s="20" t="s">
        <v>31</v>
      </c>
      <c r="H6" s="9" t="s">
        <v>79</v>
      </c>
      <c r="I6" s="21" t="s">
        <v>48</v>
      </c>
      <c r="J6" s="10"/>
    </row>
    <row r="7">
      <c r="A7" s="10" t="s">
        <v>84</v>
      </c>
      <c r="B7" s="10" t="s">
        <v>74</v>
      </c>
      <c r="C7" s="10" t="s">
        <v>75</v>
      </c>
      <c r="D7" s="10" t="s">
        <v>85</v>
      </c>
      <c r="E7" s="10" t="s">
        <v>86</v>
      </c>
      <c r="F7" s="10" t="s">
        <v>83</v>
      </c>
      <c r="G7" s="20" t="s">
        <v>31</v>
      </c>
      <c r="H7" s="9" t="s">
        <v>87</v>
      </c>
      <c r="I7" s="21" t="s">
        <v>48</v>
      </c>
      <c r="J7" s="10"/>
    </row>
    <row r="8">
      <c r="A8" s="10" t="s">
        <v>88</v>
      </c>
      <c r="B8" s="10" t="s">
        <v>74</v>
      </c>
      <c r="C8" s="10" t="s">
        <v>75</v>
      </c>
      <c r="D8" s="10" t="s">
        <v>89</v>
      </c>
      <c r="E8" s="10" t="s">
        <v>90</v>
      </c>
      <c r="F8" s="10" t="s">
        <v>83</v>
      </c>
      <c r="G8" s="20" t="s">
        <v>31</v>
      </c>
      <c r="H8" s="9" t="s">
        <v>79</v>
      </c>
      <c r="I8" s="21" t="s">
        <v>48</v>
      </c>
      <c r="J8" s="10"/>
    </row>
    <row r="9">
      <c r="A9" s="10" t="s">
        <v>91</v>
      </c>
      <c r="B9" s="10" t="s">
        <v>74</v>
      </c>
      <c r="C9" s="10" t="s">
        <v>75</v>
      </c>
      <c r="D9" s="10" t="s">
        <v>92</v>
      </c>
      <c r="E9" s="10" t="s">
        <v>93</v>
      </c>
      <c r="F9" s="10" t="s">
        <v>94</v>
      </c>
      <c r="G9" s="20" t="s">
        <v>31</v>
      </c>
      <c r="H9" s="9" t="s">
        <v>87</v>
      </c>
      <c r="I9" s="21" t="s">
        <v>48</v>
      </c>
      <c r="J9" s="10"/>
    </row>
    <row r="10">
      <c r="A10" s="10" t="s">
        <v>95</v>
      </c>
      <c r="B10" s="10" t="s">
        <v>74</v>
      </c>
      <c r="C10" s="10" t="s">
        <v>75</v>
      </c>
      <c r="D10" s="10" t="s">
        <v>96</v>
      </c>
      <c r="E10" s="10" t="s">
        <v>97</v>
      </c>
      <c r="F10" s="10" t="s">
        <v>83</v>
      </c>
      <c r="G10" s="20" t="s">
        <v>31</v>
      </c>
      <c r="H10" s="9" t="s">
        <v>87</v>
      </c>
      <c r="I10" s="21" t="s">
        <v>52</v>
      </c>
      <c r="J10" s="10"/>
    </row>
    <row r="11">
      <c r="A11" s="10" t="s">
        <v>98</v>
      </c>
      <c r="B11" s="10" t="s">
        <v>74</v>
      </c>
      <c r="C11" s="10" t="s">
        <v>99</v>
      </c>
      <c r="D11" s="10" t="s">
        <v>100</v>
      </c>
      <c r="E11" s="10" t="s">
        <v>101</v>
      </c>
      <c r="F11" s="10" t="s">
        <v>102</v>
      </c>
      <c r="G11" s="20" t="s">
        <v>31</v>
      </c>
      <c r="H11" s="9" t="s">
        <v>79</v>
      </c>
      <c r="I11" s="21" t="s">
        <v>48</v>
      </c>
      <c r="J11" s="10"/>
    </row>
    <row r="12">
      <c r="A12" s="10" t="s">
        <v>103</v>
      </c>
      <c r="B12" s="10" t="s">
        <v>74</v>
      </c>
      <c r="C12" s="10" t="s">
        <v>104</v>
      </c>
      <c r="D12" s="10" t="s">
        <v>105</v>
      </c>
      <c r="E12" s="10" t="s">
        <v>106</v>
      </c>
      <c r="F12" s="10" t="s">
        <v>83</v>
      </c>
      <c r="G12" s="20" t="s">
        <v>31</v>
      </c>
      <c r="H12" s="9" t="s">
        <v>79</v>
      </c>
      <c r="I12" s="21" t="s">
        <v>48</v>
      </c>
      <c r="J12" s="10"/>
    </row>
    <row r="13">
      <c r="A13" s="10" t="s">
        <v>107</v>
      </c>
      <c r="B13" s="10" t="s">
        <v>74</v>
      </c>
      <c r="C13" s="10" t="s">
        <v>108</v>
      </c>
      <c r="D13" s="10" t="s">
        <v>109</v>
      </c>
      <c r="E13" s="10" t="s">
        <v>110</v>
      </c>
      <c r="F13" s="10" t="s">
        <v>83</v>
      </c>
      <c r="G13" s="20" t="s">
        <v>31</v>
      </c>
      <c r="H13" s="9" t="s">
        <v>79</v>
      </c>
      <c r="I13" s="21" t="s">
        <v>48</v>
      </c>
      <c r="J13" s="10"/>
    </row>
    <row r="14">
      <c r="A14" s="10" t="s">
        <v>111</v>
      </c>
      <c r="B14" s="10" t="s">
        <v>74</v>
      </c>
      <c r="C14" s="10" t="s">
        <v>112</v>
      </c>
      <c r="D14" s="10" t="s">
        <v>113</v>
      </c>
      <c r="E14" s="10" t="s">
        <v>114</v>
      </c>
      <c r="F14" s="10" t="s">
        <v>83</v>
      </c>
      <c r="G14" s="20" t="s">
        <v>31</v>
      </c>
      <c r="H14" s="9" t="s">
        <v>79</v>
      </c>
      <c r="I14" s="21" t="s">
        <v>48</v>
      </c>
      <c r="J14" s="10"/>
    </row>
    <row r="15">
      <c r="A15" s="10" t="s">
        <v>115</v>
      </c>
      <c r="B15" s="10" t="s">
        <v>74</v>
      </c>
      <c r="C15" s="10" t="s">
        <v>116</v>
      </c>
      <c r="D15" s="10" t="s">
        <v>117</v>
      </c>
      <c r="E15" s="10" t="s">
        <v>118</v>
      </c>
      <c r="F15" s="10" t="s">
        <v>83</v>
      </c>
      <c r="G15" s="20" t="s">
        <v>31</v>
      </c>
      <c r="H15" s="9" t="s">
        <v>79</v>
      </c>
      <c r="I15" s="21" t="s">
        <v>50</v>
      </c>
      <c r="J15" s="22" t="s">
        <v>119</v>
      </c>
    </row>
    <row r="16">
      <c r="A16" s="10" t="s">
        <v>120</v>
      </c>
      <c r="B16" s="10" t="s">
        <v>74</v>
      </c>
      <c r="C16" s="10" t="s">
        <v>121</v>
      </c>
      <c r="D16" s="10" t="s">
        <v>122</v>
      </c>
      <c r="E16" s="10" t="s">
        <v>123</v>
      </c>
      <c r="F16" s="10" t="s">
        <v>83</v>
      </c>
      <c r="G16" s="20" t="s">
        <v>31</v>
      </c>
      <c r="H16" s="23" t="s">
        <v>124</v>
      </c>
      <c r="I16" s="21" t="s">
        <v>48</v>
      </c>
      <c r="J16" s="10"/>
    </row>
    <row r="17">
      <c r="A17" s="10" t="s">
        <v>125</v>
      </c>
      <c r="B17" s="10" t="s">
        <v>74</v>
      </c>
      <c r="C17" s="10" t="s">
        <v>121</v>
      </c>
      <c r="D17" s="10" t="s">
        <v>126</v>
      </c>
      <c r="E17" s="10" t="s">
        <v>127</v>
      </c>
      <c r="F17" s="10" t="s">
        <v>128</v>
      </c>
      <c r="G17" s="20" t="s">
        <v>31</v>
      </c>
      <c r="H17" s="9" t="s">
        <v>79</v>
      </c>
      <c r="I17" s="21" t="s">
        <v>48</v>
      </c>
      <c r="J17" s="10"/>
    </row>
    <row r="18">
      <c r="A18" s="10" t="s">
        <v>129</v>
      </c>
      <c r="B18" s="10" t="s">
        <v>74</v>
      </c>
      <c r="C18" s="10" t="s">
        <v>130</v>
      </c>
      <c r="D18" s="10" t="s">
        <v>131</v>
      </c>
      <c r="E18" s="10" t="s">
        <v>132</v>
      </c>
      <c r="F18" s="10" t="s">
        <v>83</v>
      </c>
      <c r="G18" s="20" t="s">
        <v>31</v>
      </c>
      <c r="H18" s="9" t="s">
        <v>79</v>
      </c>
      <c r="I18" s="21" t="s">
        <v>48</v>
      </c>
      <c r="J18" s="10"/>
    </row>
    <row r="19">
      <c r="A19" s="10" t="s">
        <v>133</v>
      </c>
      <c r="B19" s="10" t="s">
        <v>74</v>
      </c>
      <c r="C19" s="10" t="s">
        <v>134</v>
      </c>
      <c r="D19" s="10" t="s">
        <v>135</v>
      </c>
      <c r="E19" s="10" t="s">
        <v>136</v>
      </c>
      <c r="F19" s="10" t="s">
        <v>94</v>
      </c>
      <c r="G19" s="20" t="s">
        <v>31</v>
      </c>
      <c r="H19" s="9" t="s">
        <v>79</v>
      </c>
      <c r="I19" s="21" t="s">
        <v>50</v>
      </c>
      <c r="J19" s="24" t="s">
        <v>137</v>
      </c>
    </row>
    <row r="20">
      <c r="A20" s="10" t="s">
        <v>138</v>
      </c>
      <c r="B20" s="10" t="s">
        <v>74</v>
      </c>
      <c r="C20" s="10" t="s">
        <v>139</v>
      </c>
      <c r="D20" s="10" t="s">
        <v>140</v>
      </c>
      <c r="E20" s="10" t="s">
        <v>141</v>
      </c>
      <c r="F20" s="10" t="s">
        <v>142</v>
      </c>
      <c r="G20" s="20" t="s">
        <v>31</v>
      </c>
      <c r="H20" s="9" t="s">
        <v>79</v>
      </c>
      <c r="I20" s="21" t="s">
        <v>48</v>
      </c>
      <c r="J20" s="10"/>
    </row>
    <row r="21" ht="28.5" customHeight="1">
      <c r="A21" s="10" t="s">
        <v>143</v>
      </c>
      <c r="B21" s="10" t="s">
        <v>74</v>
      </c>
      <c r="C21" s="10" t="s">
        <v>144</v>
      </c>
      <c r="D21" s="10" t="s">
        <v>145</v>
      </c>
      <c r="E21" s="10" t="s">
        <v>146</v>
      </c>
      <c r="F21" s="10" t="s">
        <v>83</v>
      </c>
      <c r="G21" s="25" t="s">
        <v>35</v>
      </c>
      <c r="H21" s="9" t="s">
        <v>79</v>
      </c>
      <c r="I21" s="21" t="s">
        <v>50</v>
      </c>
      <c r="J21" s="22" t="s">
        <v>147</v>
      </c>
    </row>
    <row r="22" ht="25.5" customHeight="1">
      <c r="A22" s="10" t="s">
        <v>148</v>
      </c>
      <c r="B22" s="10" t="s">
        <v>74</v>
      </c>
      <c r="C22" s="10" t="s">
        <v>149</v>
      </c>
      <c r="D22" s="10" t="s">
        <v>150</v>
      </c>
      <c r="E22" s="10" t="s">
        <v>151</v>
      </c>
      <c r="F22" s="10" t="s">
        <v>83</v>
      </c>
      <c r="G22" s="20" t="s">
        <v>31</v>
      </c>
      <c r="H22" s="9" t="s">
        <v>87</v>
      </c>
      <c r="I22" s="21" t="s">
        <v>48</v>
      </c>
      <c r="J22" s="10"/>
    </row>
    <row r="23" ht="27.0" customHeight="1">
      <c r="A23" s="10" t="s">
        <v>152</v>
      </c>
      <c r="B23" s="10" t="s">
        <v>74</v>
      </c>
      <c r="C23" s="10" t="s">
        <v>153</v>
      </c>
      <c r="D23" s="10" t="s">
        <v>154</v>
      </c>
      <c r="E23" s="10" t="s">
        <v>155</v>
      </c>
      <c r="F23" s="10" t="s">
        <v>156</v>
      </c>
      <c r="G23" s="20" t="s">
        <v>31</v>
      </c>
      <c r="H23" s="9" t="s">
        <v>79</v>
      </c>
      <c r="I23" s="21" t="s">
        <v>48</v>
      </c>
      <c r="J23" s="10"/>
    </row>
    <row r="24" ht="15.75" customHeight="1">
      <c r="A24" s="10" t="s">
        <v>157</v>
      </c>
      <c r="B24" s="10" t="s">
        <v>74</v>
      </c>
      <c r="C24" s="10" t="s">
        <v>158</v>
      </c>
      <c r="D24" s="10" t="s">
        <v>159</v>
      </c>
      <c r="E24" s="10" t="s">
        <v>160</v>
      </c>
      <c r="F24" s="10" t="s">
        <v>83</v>
      </c>
      <c r="G24" s="26" t="s">
        <v>41</v>
      </c>
      <c r="H24" s="23" t="s">
        <v>124</v>
      </c>
      <c r="I24" s="21" t="s">
        <v>52</v>
      </c>
      <c r="J24" s="10"/>
    </row>
    <row r="25" ht="36.0" customHeight="1">
      <c r="A25" s="10" t="s">
        <v>161</v>
      </c>
      <c r="B25" s="10" t="s">
        <v>74</v>
      </c>
      <c r="C25" s="10" t="s">
        <v>99</v>
      </c>
      <c r="D25" s="10" t="s">
        <v>162</v>
      </c>
      <c r="E25" s="10" t="s">
        <v>163</v>
      </c>
      <c r="F25" s="10" t="s">
        <v>164</v>
      </c>
      <c r="G25" s="20" t="s">
        <v>31</v>
      </c>
      <c r="H25" s="23" t="s">
        <v>124</v>
      </c>
      <c r="I25" s="21" t="s">
        <v>48</v>
      </c>
      <c r="J25" s="10"/>
    </row>
    <row r="26" ht="15.75" customHeight="1">
      <c r="A26" s="10" t="s">
        <v>165</v>
      </c>
      <c r="B26" s="10" t="s">
        <v>74</v>
      </c>
      <c r="C26" s="10" t="s">
        <v>166</v>
      </c>
      <c r="D26" s="10" t="s">
        <v>167</v>
      </c>
      <c r="E26" s="10" t="s">
        <v>168</v>
      </c>
      <c r="F26" s="10" t="s">
        <v>102</v>
      </c>
      <c r="G26" s="20" t="s">
        <v>31</v>
      </c>
      <c r="H26" s="9" t="s">
        <v>79</v>
      </c>
      <c r="I26" s="21" t="s">
        <v>48</v>
      </c>
      <c r="J26" s="10"/>
    </row>
    <row r="27" ht="36.0" customHeight="1">
      <c r="A27" s="10" t="s">
        <v>169</v>
      </c>
      <c r="B27" s="10" t="s">
        <v>74</v>
      </c>
      <c r="C27" s="10" t="s">
        <v>99</v>
      </c>
      <c r="D27" s="10" t="s">
        <v>170</v>
      </c>
      <c r="E27" s="10" t="s">
        <v>171</v>
      </c>
      <c r="F27" s="10" t="s">
        <v>172</v>
      </c>
      <c r="G27" s="20" t="s">
        <v>31</v>
      </c>
      <c r="H27" s="9" t="s">
        <v>79</v>
      </c>
      <c r="I27" s="21" t="s">
        <v>48</v>
      </c>
      <c r="J27" s="10"/>
    </row>
    <row r="28" ht="30.0" customHeight="1">
      <c r="A28" s="10" t="s">
        <v>173</v>
      </c>
      <c r="B28" s="10" t="s">
        <v>74</v>
      </c>
      <c r="C28" s="10" t="s">
        <v>99</v>
      </c>
      <c r="D28" s="10" t="s">
        <v>174</v>
      </c>
      <c r="E28" s="10" t="s">
        <v>175</v>
      </c>
      <c r="F28" s="10" t="s">
        <v>176</v>
      </c>
      <c r="G28" s="20" t="s">
        <v>31</v>
      </c>
      <c r="H28" s="9" t="s">
        <v>79</v>
      </c>
      <c r="I28" s="21" t="s">
        <v>48</v>
      </c>
      <c r="J28" s="10"/>
    </row>
    <row r="29" ht="33.75" customHeight="1">
      <c r="A29" s="10" t="s">
        <v>177</v>
      </c>
      <c r="B29" s="10" t="s">
        <v>74</v>
      </c>
      <c r="C29" s="10" t="s">
        <v>178</v>
      </c>
      <c r="D29" s="10" t="s">
        <v>179</v>
      </c>
      <c r="E29" s="10" t="s">
        <v>180</v>
      </c>
      <c r="F29" s="10" t="s">
        <v>181</v>
      </c>
      <c r="G29" s="20" t="s">
        <v>31</v>
      </c>
      <c r="H29" s="9" t="s">
        <v>87</v>
      </c>
      <c r="I29" s="21" t="s">
        <v>48</v>
      </c>
      <c r="J29" s="10"/>
    </row>
    <row r="30" ht="22.5" customHeight="1">
      <c r="A30" s="10" t="s">
        <v>182</v>
      </c>
      <c r="B30" s="10" t="s">
        <v>183</v>
      </c>
      <c r="C30" s="10" t="s">
        <v>184</v>
      </c>
      <c r="D30" s="10" t="s">
        <v>185</v>
      </c>
      <c r="E30" s="10" t="s">
        <v>186</v>
      </c>
      <c r="F30" s="10" t="s">
        <v>187</v>
      </c>
      <c r="G30" s="20" t="s">
        <v>31</v>
      </c>
      <c r="H30" s="23" t="s">
        <v>124</v>
      </c>
      <c r="I30" s="21" t="s">
        <v>48</v>
      </c>
      <c r="J30" s="10"/>
    </row>
    <row r="31" ht="15.75" customHeight="1">
      <c r="A31" s="10" t="s">
        <v>188</v>
      </c>
      <c r="B31" s="10" t="s">
        <v>183</v>
      </c>
      <c r="C31" s="10" t="s">
        <v>189</v>
      </c>
      <c r="D31" s="10" t="s">
        <v>190</v>
      </c>
      <c r="E31" s="10" t="s">
        <v>191</v>
      </c>
      <c r="F31" s="10" t="s">
        <v>192</v>
      </c>
      <c r="G31" s="20" t="s">
        <v>31</v>
      </c>
      <c r="H31" s="23" t="s">
        <v>124</v>
      </c>
      <c r="I31" s="21" t="s">
        <v>48</v>
      </c>
      <c r="J31" s="10"/>
    </row>
    <row r="32" ht="15.75" customHeight="1">
      <c r="A32" s="10" t="s">
        <v>193</v>
      </c>
      <c r="B32" s="10" t="s">
        <v>183</v>
      </c>
      <c r="C32" s="10" t="s">
        <v>194</v>
      </c>
      <c r="D32" s="10" t="s">
        <v>195</v>
      </c>
      <c r="E32" s="10" t="s">
        <v>196</v>
      </c>
      <c r="F32" s="10" t="s">
        <v>197</v>
      </c>
      <c r="G32" s="25" t="s">
        <v>35</v>
      </c>
      <c r="H32" s="23" t="s">
        <v>124</v>
      </c>
      <c r="I32" s="21" t="s">
        <v>50</v>
      </c>
      <c r="J32" s="22" t="s">
        <v>198</v>
      </c>
    </row>
    <row r="33" ht="15.75" customHeight="1">
      <c r="A33" s="10" t="s">
        <v>199</v>
      </c>
      <c r="B33" s="10" t="s">
        <v>183</v>
      </c>
      <c r="C33" s="10" t="s">
        <v>200</v>
      </c>
      <c r="D33" s="10" t="s">
        <v>201</v>
      </c>
      <c r="E33" s="10" t="s">
        <v>202</v>
      </c>
      <c r="F33" s="10" t="s">
        <v>203</v>
      </c>
      <c r="G33" s="20" t="s">
        <v>31</v>
      </c>
      <c r="H33" s="23" t="s">
        <v>124</v>
      </c>
      <c r="I33" s="21" t="s">
        <v>48</v>
      </c>
      <c r="J33" s="10"/>
    </row>
    <row r="34" ht="61.5" customHeight="1">
      <c r="A34" s="10" t="s">
        <v>204</v>
      </c>
      <c r="B34" s="10" t="s">
        <v>183</v>
      </c>
      <c r="C34" s="10" t="s">
        <v>200</v>
      </c>
      <c r="D34" s="10" t="s">
        <v>205</v>
      </c>
      <c r="E34" s="10" t="s">
        <v>206</v>
      </c>
      <c r="F34" s="10" t="s">
        <v>187</v>
      </c>
      <c r="G34" s="25" t="s">
        <v>33</v>
      </c>
      <c r="H34" s="23" t="s">
        <v>124</v>
      </c>
      <c r="I34" s="21" t="s">
        <v>50</v>
      </c>
      <c r="J34" s="22" t="s">
        <v>207</v>
      </c>
    </row>
    <row r="35" ht="27.0" customHeight="1">
      <c r="A35" s="10" t="s">
        <v>208</v>
      </c>
      <c r="B35" s="10" t="s">
        <v>183</v>
      </c>
      <c r="C35" s="10" t="s">
        <v>200</v>
      </c>
      <c r="D35" s="10" t="s">
        <v>209</v>
      </c>
      <c r="E35" s="10" t="s">
        <v>210</v>
      </c>
      <c r="F35" s="10" t="s">
        <v>203</v>
      </c>
      <c r="G35" s="25" t="s">
        <v>33</v>
      </c>
      <c r="H35" s="9" t="s">
        <v>79</v>
      </c>
      <c r="I35" s="21" t="s">
        <v>50</v>
      </c>
      <c r="J35" s="10"/>
    </row>
    <row r="36" ht="15.75" customHeight="1">
      <c r="A36" s="10" t="s">
        <v>211</v>
      </c>
      <c r="B36" s="10" t="s">
        <v>183</v>
      </c>
      <c r="C36" s="10" t="s">
        <v>212</v>
      </c>
      <c r="D36" s="10" t="s">
        <v>213</v>
      </c>
      <c r="E36" s="10" t="s">
        <v>214</v>
      </c>
      <c r="F36" s="10" t="s">
        <v>215</v>
      </c>
      <c r="G36" s="26" t="s">
        <v>43</v>
      </c>
      <c r="H36" s="23" t="s">
        <v>124</v>
      </c>
      <c r="I36" s="21" t="s">
        <v>52</v>
      </c>
      <c r="J36" s="10"/>
    </row>
    <row r="37" ht="15.75" customHeight="1">
      <c r="A37" s="10" t="s">
        <v>216</v>
      </c>
      <c r="B37" s="10" t="s">
        <v>183</v>
      </c>
      <c r="C37" s="10" t="s">
        <v>217</v>
      </c>
      <c r="D37" s="10" t="s">
        <v>218</v>
      </c>
      <c r="E37" s="10" t="s">
        <v>219</v>
      </c>
      <c r="F37" s="10" t="s">
        <v>220</v>
      </c>
      <c r="G37" s="26" t="s">
        <v>43</v>
      </c>
      <c r="H37" s="23" t="s">
        <v>124</v>
      </c>
      <c r="I37" s="21" t="s">
        <v>52</v>
      </c>
      <c r="J37" s="10"/>
    </row>
    <row r="38" ht="15.75" customHeight="1">
      <c r="A38" s="10" t="s">
        <v>221</v>
      </c>
      <c r="B38" s="10" t="s">
        <v>183</v>
      </c>
      <c r="C38" s="10" t="s">
        <v>222</v>
      </c>
      <c r="D38" s="10" t="s">
        <v>223</v>
      </c>
      <c r="E38" s="10" t="s">
        <v>224</v>
      </c>
      <c r="F38" s="10" t="s">
        <v>225</v>
      </c>
      <c r="G38" s="26" t="s">
        <v>43</v>
      </c>
      <c r="H38" s="9" t="s">
        <v>79</v>
      </c>
      <c r="I38" s="21" t="s">
        <v>52</v>
      </c>
      <c r="J38" s="10"/>
    </row>
    <row r="39" ht="15.75" customHeight="1">
      <c r="A39" s="10" t="s">
        <v>226</v>
      </c>
      <c r="B39" s="10" t="s">
        <v>183</v>
      </c>
      <c r="C39" s="10" t="s">
        <v>227</v>
      </c>
      <c r="D39" s="10" t="s">
        <v>228</v>
      </c>
      <c r="E39" s="10" t="s">
        <v>229</v>
      </c>
      <c r="F39" s="10" t="s">
        <v>187</v>
      </c>
      <c r="G39" s="26" t="s">
        <v>39</v>
      </c>
      <c r="H39" s="9" t="s">
        <v>79</v>
      </c>
      <c r="I39" s="21" t="s">
        <v>52</v>
      </c>
      <c r="J39" s="10"/>
    </row>
    <row r="40" ht="15.75" customHeight="1">
      <c r="A40" s="10" t="s">
        <v>230</v>
      </c>
      <c r="B40" s="10" t="s">
        <v>183</v>
      </c>
      <c r="C40" s="10" t="s">
        <v>231</v>
      </c>
      <c r="D40" s="10" t="s">
        <v>232</v>
      </c>
      <c r="E40" s="10" t="s">
        <v>233</v>
      </c>
      <c r="F40" s="10" t="s">
        <v>234</v>
      </c>
      <c r="G40" s="20" t="s">
        <v>31</v>
      </c>
      <c r="H40" s="9" t="s">
        <v>79</v>
      </c>
      <c r="I40" s="21" t="s">
        <v>48</v>
      </c>
      <c r="J40" s="10"/>
    </row>
    <row r="41" ht="25.5" customHeight="1">
      <c r="A41" s="10" t="s">
        <v>235</v>
      </c>
      <c r="B41" s="10" t="s">
        <v>183</v>
      </c>
      <c r="C41" s="10" t="s">
        <v>236</v>
      </c>
      <c r="D41" s="10" t="s">
        <v>237</v>
      </c>
      <c r="E41" s="10" t="s">
        <v>238</v>
      </c>
      <c r="F41" s="10" t="s">
        <v>234</v>
      </c>
      <c r="G41" s="20" t="s">
        <v>31</v>
      </c>
      <c r="H41" s="9" t="s">
        <v>79</v>
      </c>
      <c r="I41" s="21" t="s">
        <v>50</v>
      </c>
      <c r="J41" s="22" t="s">
        <v>239</v>
      </c>
    </row>
    <row r="42" ht="23.25" customHeight="1">
      <c r="A42" s="10" t="s">
        <v>240</v>
      </c>
      <c r="B42" s="10" t="s">
        <v>241</v>
      </c>
      <c r="C42" s="10" t="s">
        <v>242</v>
      </c>
      <c r="D42" s="10" t="s">
        <v>243</v>
      </c>
      <c r="E42" s="10" t="s">
        <v>244</v>
      </c>
      <c r="F42" s="10" t="s">
        <v>245</v>
      </c>
      <c r="G42" s="20" t="s">
        <v>31</v>
      </c>
      <c r="H42" s="9" t="s">
        <v>79</v>
      </c>
      <c r="I42" s="21" t="s">
        <v>48</v>
      </c>
      <c r="J42" s="10"/>
    </row>
    <row r="43" ht="15.75" customHeight="1">
      <c r="A43" s="10" t="s">
        <v>246</v>
      </c>
      <c r="B43" s="10" t="s">
        <v>241</v>
      </c>
      <c r="C43" s="10" t="s">
        <v>231</v>
      </c>
      <c r="D43" s="10" t="s">
        <v>247</v>
      </c>
      <c r="E43" s="10" t="s">
        <v>248</v>
      </c>
      <c r="F43" s="10" t="s">
        <v>245</v>
      </c>
      <c r="G43" s="20" t="s">
        <v>31</v>
      </c>
      <c r="H43" s="9" t="s">
        <v>79</v>
      </c>
      <c r="I43" s="21" t="s">
        <v>48</v>
      </c>
      <c r="J43" s="10"/>
    </row>
    <row r="44" ht="42.75" customHeight="1">
      <c r="A44" s="10" t="s">
        <v>249</v>
      </c>
      <c r="B44" s="10" t="s">
        <v>241</v>
      </c>
      <c r="C44" s="10" t="s">
        <v>250</v>
      </c>
      <c r="D44" s="10" t="s">
        <v>251</v>
      </c>
      <c r="E44" s="10" t="s">
        <v>252</v>
      </c>
      <c r="F44" s="10" t="s">
        <v>245</v>
      </c>
      <c r="G44" s="20" t="s">
        <v>31</v>
      </c>
      <c r="H44" s="9" t="s">
        <v>79</v>
      </c>
      <c r="I44" s="21" t="s">
        <v>50</v>
      </c>
      <c r="J44" s="22" t="s">
        <v>253</v>
      </c>
    </row>
    <row r="45" ht="22.5" customHeight="1">
      <c r="A45" s="10" t="s">
        <v>254</v>
      </c>
      <c r="B45" s="10" t="s">
        <v>241</v>
      </c>
      <c r="C45" s="10" t="s">
        <v>255</v>
      </c>
      <c r="D45" s="10" t="s">
        <v>256</v>
      </c>
      <c r="E45" s="10" t="s">
        <v>257</v>
      </c>
      <c r="F45" s="10" t="s">
        <v>245</v>
      </c>
      <c r="G45" s="20" t="s">
        <v>31</v>
      </c>
      <c r="H45" s="9" t="s">
        <v>79</v>
      </c>
      <c r="I45" s="21" t="s">
        <v>48</v>
      </c>
      <c r="J45" s="10"/>
    </row>
    <row r="46" ht="45.0" customHeight="1">
      <c r="A46" s="10" t="s">
        <v>258</v>
      </c>
      <c r="B46" s="10" t="s">
        <v>241</v>
      </c>
      <c r="C46" s="10" t="s">
        <v>259</v>
      </c>
      <c r="D46" s="10" t="s">
        <v>260</v>
      </c>
      <c r="E46" s="10" t="s">
        <v>261</v>
      </c>
      <c r="F46" s="10" t="s">
        <v>245</v>
      </c>
      <c r="G46" s="20" t="s">
        <v>31</v>
      </c>
      <c r="H46" s="9" t="s">
        <v>79</v>
      </c>
      <c r="I46" s="21" t="s">
        <v>48</v>
      </c>
      <c r="J46" s="27" t="s">
        <v>262</v>
      </c>
    </row>
    <row r="47" ht="25.5" customHeight="1">
      <c r="A47" s="10" t="s">
        <v>263</v>
      </c>
      <c r="B47" s="10" t="s">
        <v>241</v>
      </c>
      <c r="C47" s="10" t="s">
        <v>264</v>
      </c>
      <c r="D47" s="10" t="s">
        <v>265</v>
      </c>
      <c r="E47" s="10" t="s">
        <v>266</v>
      </c>
      <c r="F47" s="10" t="s">
        <v>245</v>
      </c>
      <c r="G47" s="20" t="s">
        <v>31</v>
      </c>
      <c r="H47" s="9" t="s">
        <v>79</v>
      </c>
      <c r="I47" s="21" t="s">
        <v>48</v>
      </c>
      <c r="J47" s="10"/>
    </row>
    <row r="48" ht="39.0" customHeight="1">
      <c r="A48" s="10" t="s">
        <v>267</v>
      </c>
      <c r="B48" s="10" t="s">
        <v>241</v>
      </c>
      <c r="C48" s="10" t="s">
        <v>268</v>
      </c>
      <c r="D48" s="10" t="s">
        <v>269</v>
      </c>
      <c r="E48" s="10" t="s">
        <v>270</v>
      </c>
      <c r="F48" s="10" t="s">
        <v>271</v>
      </c>
      <c r="G48" s="20" t="s">
        <v>31</v>
      </c>
      <c r="H48" s="9" t="s">
        <v>79</v>
      </c>
      <c r="I48" s="21" t="s">
        <v>50</v>
      </c>
      <c r="J48" s="27" t="s">
        <v>272</v>
      </c>
    </row>
    <row r="49" ht="33.75" customHeight="1">
      <c r="A49" s="10" t="s">
        <v>273</v>
      </c>
      <c r="B49" s="10" t="s">
        <v>241</v>
      </c>
      <c r="C49" s="10" t="s">
        <v>268</v>
      </c>
      <c r="D49" s="10" t="s">
        <v>274</v>
      </c>
      <c r="E49" s="10" t="s">
        <v>275</v>
      </c>
      <c r="F49" s="10" t="s">
        <v>276</v>
      </c>
      <c r="G49" s="20" t="s">
        <v>31</v>
      </c>
      <c r="H49" s="9" t="s">
        <v>79</v>
      </c>
      <c r="I49" s="21" t="s">
        <v>52</v>
      </c>
      <c r="J49" s="10"/>
    </row>
    <row r="50" ht="40.5" customHeight="1">
      <c r="A50" s="10" t="s">
        <v>277</v>
      </c>
      <c r="B50" s="10" t="s">
        <v>241</v>
      </c>
      <c r="C50" s="10" t="s">
        <v>278</v>
      </c>
      <c r="D50" s="10" t="s">
        <v>279</v>
      </c>
      <c r="E50" s="10" t="s">
        <v>280</v>
      </c>
      <c r="F50" s="10" t="s">
        <v>281</v>
      </c>
      <c r="G50" s="20" t="s">
        <v>31</v>
      </c>
      <c r="H50" s="9" t="s">
        <v>79</v>
      </c>
      <c r="I50" s="21" t="s">
        <v>48</v>
      </c>
      <c r="J50" s="10"/>
    </row>
    <row r="51" ht="37.5" customHeight="1">
      <c r="A51" s="10" t="s">
        <v>282</v>
      </c>
      <c r="B51" s="10" t="s">
        <v>241</v>
      </c>
      <c r="C51" s="10" t="s">
        <v>283</v>
      </c>
      <c r="D51" s="10" t="s">
        <v>284</v>
      </c>
      <c r="E51" s="10" t="s">
        <v>285</v>
      </c>
      <c r="F51" s="10" t="s">
        <v>245</v>
      </c>
      <c r="G51" s="20" t="s">
        <v>31</v>
      </c>
      <c r="H51" s="9" t="s">
        <v>87</v>
      </c>
      <c r="I51" s="21" t="s">
        <v>48</v>
      </c>
      <c r="J51" s="10"/>
    </row>
    <row r="52" ht="38.25" customHeight="1">
      <c r="A52" s="10" t="s">
        <v>286</v>
      </c>
      <c r="B52" s="10" t="s">
        <v>241</v>
      </c>
      <c r="C52" s="10" t="s">
        <v>287</v>
      </c>
      <c r="D52" s="10" t="s">
        <v>288</v>
      </c>
      <c r="E52" s="10" t="s">
        <v>289</v>
      </c>
      <c r="F52" s="10" t="s">
        <v>290</v>
      </c>
      <c r="G52" s="20" t="s">
        <v>31</v>
      </c>
      <c r="H52" s="9" t="s">
        <v>87</v>
      </c>
      <c r="I52" s="21" t="s">
        <v>48</v>
      </c>
      <c r="J52" s="10"/>
    </row>
    <row r="53" ht="25.5" customHeight="1">
      <c r="A53" s="10" t="s">
        <v>291</v>
      </c>
      <c r="B53" s="10" t="s">
        <v>292</v>
      </c>
      <c r="C53" s="10" t="s">
        <v>293</v>
      </c>
      <c r="D53" s="10" t="s">
        <v>294</v>
      </c>
      <c r="E53" s="10" t="s">
        <v>295</v>
      </c>
      <c r="F53" s="10" t="s">
        <v>245</v>
      </c>
      <c r="G53" s="20" t="s">
        <v>31</v>
      </c>
      <c r="H53" s="9" t="s">
        <v>79</v>
      </c>
      <c r="I53" s="21" t="s">
        <v>48</v>
      </c>
      <c r="J53" s="10"/>
    </row>
    <row r="54" ht="15.75" customHeight="1">
      <c r="A54" s="10" t="s">
        <v>296</v>
      </c>
      <c r="B54" s="10" t="s">
        <v>292</v>
      </c>
      <c r="C54" s="10" t="s">
        <v>293</v>
      </c>
      <c r="D54" s="10" t="s">
        <v>297</v>
      </c>
      <c r="E54" s="10" t="s">
        <v>298</v>
      </c>
      <c r="F54" s="10" t="s">
        <v>245</v>
      </c>
      <c r="G54" s="26" t="s">
        <v>41</v>
      </c>
      <c r="H54" s="9" t="s">
        <v>79</v>
      </c>
      <c r="I54" s="21" t="s">
        <v>52</v>
      </c>
      <c r="J54" s="22" t="s">
        <v>299</v>
      </c>
    </row>
    <row r="55" ht="27.0" customHeight="1">
      <c r="A55" s="10" t="s">
        <v>300</v>
      </c>
      <c r="B55" s="10" t="s">
        <v>292</v>
      </c>
      <c r="C55" s="10" t="s">
        <v>293</v>
      </c>
      <c r="D55" s="10" t="s">
        <v>301</v>
      </c>
      <c r="E55" s="10" t="s">
        <v>302</v>
      </c>
      <c r="F55" s="10" t="s">
        <v>245</v>
      </c>
      <c r="G55" s="20" t="s">
        <v>31</v>
      </c>
      <c r="H55" s="9" t="s">
        <v>79</v>
      </c>
      <c r="I55" s="21" t="s">
        <v>52</v>
      </c>
      <c r="J55" s="10"/>
    </row>
    <row r="56" ht="27.75" customHeight="1">
      <c r="A56" s="10" t="s">
        <v>303</v>
      </c>
      <c r="B56" s="10" t="s">
        <v>292</v>
      </c>
      <c r="C56" s="10" t="s">
        <v>304</v>
      </c>
      <c r="D56" s="10" t="s">
        <v>305</v>
      </c>
      <c r="E56" s="10" t="s">
        <v>306</v>
      </c>
      <c r="F56" s="10" t="s">
        <v>307</v>
      </c>
      <c r="G56" s="20" t="s">
        <v>31</v>
      </c>
      <c r="H56" s="9" t="s">
        <v>79</v>
      </c>
      <c r="I56" s="21" t="s">
        <v>52</v>
      </c>
      <c r="J56" s="10"/>
    </row>
    <row r="57" ht="27.0" customHeight="1">
      <c r="A57" s="10" t="s">
        <v>308</v>
      </c>
      <c r="B57" s="10" t="s">
        <v>292</v>
      </c>
      <c r="C57" s="10" t="s">
        <v>309</v>
      </c>
      <c r="D57" s="10" t="s">
        <v>310</v>
      </c>
      <c r="E57" s="10" t="s">
        <v>311</v>
      </c>
      <c r="F57" s="10" t="s">
        <v>307</v>
      </c>
      <c r="G57" s="20" t="s">
        <v>31</v>
      </c>
      <c r="H57" s="23" t="s">
        <v>124</v>
      </c>
      <c r="I57" s="21" t="s">
        <v>48</v>
      </c>
      <c r="J57" s="10"/>
    </row>
    <row r="58" ht="25.5" customHeight="1">
      <c r="A58" s="10" t="s">
        <v>312</v>
      </c>
      <c r="B58" s="10" t="s">
        <v>292</v>
      </c>
      <c r="C58" s="10" t="s">
        <v>313</v>
      </c>
      <c r="D58" s="10" t="s">
        <v>314</v>
      </c>
      <c r="E58" s="10" t="s">
        <v>315</v>
      </c>
      <c r="F58" s="10" t="s">
        <v>307</v>
      </c>
      <c r="G58" s="20" t="s">
        <v>31</v>
      </c>
      <c r="H58" s="9" t="s">
        <v>79</v>
      </c>
      <c r="I58" s="21" t="s">
        <v>52</v>
      </c>
      <c r="J58" s="10"/>
    </row>
    <row r="59" ht="26.25" customHeight="1">
      <c r="A59" s="10" t="s">
        <v>316</v>
      </c>
      <c r="B59" s="10" t="s">
        <v>292</v>
      </c>
      <c r="C59" s="10" t="s">
        <v>317</v>
      </c>
      <c r="D59" s="10" t="s">
        <v>318</v>
      </c>
      <c r="E59" s="10" t="s">
        <v>319</v>
      </c>
      <c r="F59" s="10" t="s">
        <v>320</v>
      </c>
      <c r="G59" s="26" t="s">
        <v>41</v>
      </c>
      <c r="H59" s="23" t="s">
        <v>124</v>
      </c>
      <c r="I59" s="21" t="s">
        <v>50</v>
      </c>
      <c r="J59" s="22" t="s">
        <v>299</v>
      </c>
    </row>
    <row r="60" ht="30.0" customHeight="1">
      <c r="A60" s="10" t="s">
        <v>321</v>
      </c>
      <c r="B60" s="10" t="s">
        <v>292</v>
      </c>
      <c r="C60" s="10" t="s">
        <v>322</v>
      </c>
      <c r="D60" s="10" t="s">
        <v>323</v>
      </c>
      <c r="E60" s="10" t="s">
        <v>324</v>
      </c>
      <c r="F60" s="10" t="s">
        <v>325</v>
      </c>
      <c r="G60" s="25" t="s">
        <v>37</v>
      </c>
      <c r="H60" s="23" t="s">
        <v>124</v>
      </c>
      <c r="I60" s="21" t="s">
        <v>50</v>
      </c>
      <c r="J60" s="22" t="s">
        <v>326</v>
      </c>
    </row>
    <row r="61" ht="29.25" customHeight="1">
      <c r="A61" s="10" t="s">
        <v>327</v>
      </c>
      <c r="B61" s="10" t="s">
        <v>292</v>
      </c>
      <c r="C61" s="10" t="s">
        <v>328</v>
      </c>
      <c r="D61" s="10" t="s">
        <v>329</v>
      </c>
      <c r="E61" s="10" t="s">
        <v>330</v>
      </c>
      <c r="F61" s="10" t="s">
        <v>325</v>
      </c>
      <c r="G61" s="25" t="s">
        <v>37</v>
      </c>
      <c r="H61" s="9" t="s">
        <v>79</v>
      </c>
      <c r="I61" s="21" t="s">
        <v>50</v>
      </c>
      <c r="J61" s="22" t="s">
        <v>326</v>
      </c>
    </row>
    <row r="62" ht="96.75" customHeight="1">
      <c r="A62" s="10" t="s">
        <v>331</v>
      </c>
      <c r="B62" s="10" t="s">
        <v>332</v>
      </c>
      <c r="C62" s="10" t="s">
        <v>333</v>
      </c>
      <c r="D62" s="10" t="s">
        <v>334</v>
      </c>
      <c r="E62" s="10" t="s">
        <v>335</v>
      </c>
      <c r="F62" s="10" t="s">
        <v>234</v>
      </c>
      <c r="G62" s="20" t="s">
        <v>31</v>
      </c>
      <c r="H62" s="9" t="s">
        <v>79</v>
      </c>
      <c r="I62" s="21" t="s">
        <v>49</v>
      </c>
      <c r="J62" s="10" t="s">
        <v>336</v>
      </c>
    </row>
    <row r="63" ht="82.5" customHeight="1">
      <c r="A63" s="10" t="s">
        <v>337</v>
      </c>
      <c r="B63" s="10" t="s">
        <v>332</v>
      </c>
      <c r="C63" s="10" t="s">
        <v>255</v>
      </c>
      <c r="D63" s="10" t="s">
        <v>338</v>
      </c>
      <c r="E63" s="10" t="s">
        <v>339</v>
      </c>
      <c r="F63" s="10" t="s">
        <v>340</v>
      </c>
      <c r="G63" s="20" t="s">
        <v>31</v>
      </c>
      <c r="H63" s="9" t="s">
        <v>79</v>
      </c>
      <c r="I63" s="21" t="s">
        <v>48</v>
      </c>
      <c r="J63" s="10"/>
    </row>
    <row r="64" ht="39.0" customHeight="1">
      <c r="A64" s="10" t="s">
        <v>341</v>
      </c>
      <c r="B64" s="10" t="s">
        <v>332</v>
      </c>
      <c r="C64" s="10" t="s">
        <v>342</v>
      </c>
      <c r="D64" s="10" t="s">
        <v>343</v>
      </c>
      <c r="E64" s="10" t="s">
        <v>344</v>
      </c>
      <c r="F64" s="10" t="s">
        <v>340</v>
      </c>
      <c r="G64" s="20" t="s">
        <v>31</v>
      </c>
      <c r="H64" s="9" t="s">
        <v>79</v>
      </c>
      <c r="I64" s="21" t="s">
        <v>50</v>
      </c>
      <c r="J64" s="22" t="s">
        <v>345</v>
      </c>
    </row>
    <row r="65" ht="33.75" customHeight="1">
      <c r="A65" s="10" t="s">
        <v>346</v>
      </c>
      <c r="B65" s="10" t="s">
        <v>332</v>
      </c>
      <c r="C65" s="10" t="s">
        <v>347</v>
      </c>
      <c r="D65" s="10" t="s">
        <v>348</v>
      </c>
      <c r="E65" s="10" t="s">
        <v>349</v>
      </c>
      <c r="F65" s="10" t="s">
        <v>350</v>
      </c>
      <c r="G65" s="20" t="s">
        <v>31</v>
      </c>
      <c r="H65" s="9" t="s">
        <v>79</v>
      </c>
      <c r="I65" s="21" t="s">
        <v>52</v>
      </c>
      <c r="J65" s="10"/>
    </row>
    <row r="66" ht="28.5" customHeight="1">
      <c r="A66" s="10" t="s">
        <v>351</v>
      </c>
      <c r="B66" s="10" t="s">
        <v>332</v>
      </c>
      <c r="C66" s="10" t="s">
        <v>352</v>
      </c>
      <c r="D66" s="10" t="s">
        <v>353</v>
      </c>
      <c r="E66" s="10" t="s">
        <v>354</v>
      </c>
      <c r="F66" s="10" t="s">
        <v>245</v>
      </c>
      <c r="G66" s="26" t="s">
        <v>43</v>
      </c>
      <c r="H66" s="23" t="s">
        <v>124</v>
      </c>
      <c r="I66" s="21" t="s">
        <v>52</v>
      </c>
      <c r="J66" s="10"/>
    </row>
    <row r="67" ht="30.75" customHeight="1">
      <c r="A67" s="10" t="s">
        <v>355</v>
      </c>
      <c r="B67" s="10" t="s">
        <v>332</v>
      </c>
      <c r="C67" s="10" t="s">
        <v>333</v>
      </c>
      <c r="D67" s="10" t="s">
        <v>356</v>
      </c>
      <c r="E67" s="10" t="s">
        <v>357</v>
      </c>
      <c r="F67" s="10" t="s">
        <v>340</v>
      </c>
      <c r="G67" s="26" t="s">
        <v>39</v>
      </c>
      <c r="H67" s="9" t="s">
        <v>79</v>
      </c>
      <c r="I67" s="21" t="s">
        <v>52</v>
      </c>
      <c r="J67" s="10"/>
    </row>
    <row r="68" ht="39.75" customHeight="1">
      <c r="A68" s="10" t="s">
        <v>358</v>
      </c>
      <c r="B68" s="10" t="s">
        <v>332</v>
      </c>
      <c r="C68" s="10" t="s">
        <v>333</v>
      </c>
      <c r="D68" s="10" t="s">
        <v>359</v>
      </c>
      <c r="E68" s="10" t="s">
        <v>360</v>
      </c>
      <c r="F68" s="10" t="s">
        <v>361</v>
      </c>
      <c r="G68" s="20" t="s">
        <v>31</v>
      </c>
      <c r="H68" s="9" t="s">
        <v>79</v>
      </c>
      <c r="I68" s="21" t="s">
        <v>52</v>
      </c>
      <c r="J68" s="10"/>
    </row>
    <row r="69" ht="27.0" customHeight="1">
      <c r="A69" s="10" t="s">
        <v>362</v>
      </c>
      <c r="B69" s="10" t="s">
        <v>332</v>
      </c>
      <c r="C69" s="10" t="s">
        <v>255</v>
      </c>
      <c r="D69" s="10" t="s">
        <v>363</v>
      </c>
      <c r="E69" s="10" t="s">
        <v>364</v>
      </c>
      <c r="F69" s="10" t="s">
        <v>234</v>
      </c>
      <c r="G69" s="20" t="s">
        <v>31</v>
      </c>
      <c r="H69" s="9" t="s">
        <v>87</v>
      </c>
      <c r="I69" s="21" t="s">
        <v>52</v>
      </c>
      <c r="J69" s="10"/>
    </row>
    <row r="70" ht="15.75" customHeight="1">
      <c r="A70" s="10" t="s">
        <v>365</v>
      </c>
      <c r="B70" s="10" t="s">
        <v>366</v>
      </c>
      <c r="C70" s="10" t="s">
        <v>278</v>
      </c>
      <c r="D70" s="10" t="s">
        <v>367</v>
      </c>
      <c r="E70" s="10" t="s">
        <v>368</v>
      </c>
      <c r="F70" s="10" t="s">
        <v>281</v>
      </c>
      <c r="G70" s="20" t="s">
        <v>31</v>
      </c>
      <c r="H70" s="9" t="s">
        <v>79</v>
      </c>
      <c r="I70" s="21" t="s">
        <v>48</v>
      </c>
      <c r="J70" s="10"/>
    </row>
    <row r="71" ht="24.0" customHeight="1">
      <c r="A71" s="10" t="s">
        <v>369</v>
      </c>
      <c r="B71" s="10" t="s">
        <v>366</v>
      </c>
      <c r="C71" s="10" t="s">
        <v>370</v>
      </c>
      <c r="D71" s="10" t="s">
        <v>371</v>
      </c>
      <c r="E71" s="10" t="s">
        <v>372</v>
      </c>
      <c r="F71" s="10" t="s">
        <v>281</v>
      </c>
      <c r="G71" s="20" t="s">
        <v>31</v>
      </c>
      <c r="H71" s="9" t="s">
        <v>79</v>
      </c>
      <c r="I71" s="21" t="s">
        <v>49</v>
      </c>
      <c r="J71" s="22" t="s">
        <v>373</v>
      </c>
    </row>
    <row r="72" ht="15.75" customHeight="1">
      <c r="A72" s="10" t="s">
        <v>374</v>
      </c>
      <c r="B72" s="10" t="s">
        <v>366</v>
      </c>
      <c r="C72" s="10" t="s">
        <v>370</v>
      </c>
      <c r="D72" s="10" t="s">
        <v>375</v>
      </c>
      <c r="E72" s="10" t="s">
        <v>376</v>
      </c>
      <c r="F72" s="10" t="s">
        <v>281</v>
      </c>
      <c r="G72" s="20" t="s">
        <v>31</v>
      </c>
      <c r="H72" s="9" t="s">
        <v>79</v>
      </c>
      <c r="I72" s="21" t="s">
        <v>48</v>
      </c>
      <c r="J72" s="10"/>
    </row>
    <row r="73" ht="15.75" customHeight="1">
      <c r="A73" s="10" t="s">
        <v>377</v>
      </c>
      <c r="B73" s="10" t="s">
        <v>366</v>
      </c>
      <c r="C73" s="10" t="s">
        <v>378</v>
      </c>
      <c r="D73" s="10" t="s">
        <v>379</v>
      </c>
      <c r="E73" s="10" t="s">
        <v>380</v>
      </c>
      <c r="F73" s="10" t="s">
        <v>381</v>
      </c>
      <c r="G73" s="20" t="s">
        <v>31</v>
      </c>
      <c r="H73" s="9" t="s">
        <v>79</v>
      </c>
      <c r="I73" s="21" t="s">
        <v>49</v>
      </c>
      <c r="J73" s="22" t="s">
        <v>382</v>
      </c>
    </row>
    <row r="74" ht="15.75" customHeight="1">
      <c r="A74" s="10" t="s">
        <v>383</v>
      </c>
      <c r="B74" s="10" t="s">
        <v>366</v>
      </c>
      <c r="C74" s="10" t="s">
        <v>278</v>
      </c>
      <c r="D74" s="10" t="s">
        <v>384</v>
      </c>
      <c r="E74" s="10" t="s">
        <v>385</v>
      </c>
      <c r="F74" s="10" t="s">
        <v>281</v>
      </c>
      <c r="G74" s="20" t="s">
        <v>31</v>
      </c>
      <c r="H74" s="9" t="s">
        <v>87</v>
      </c>
      <c r="I74" s="21" t="s">
        <v>48</v>
      </c>
      <c r="J74" s="10"/>
    </row>
    <row r="75" ht="27.0" customHeight="1">
      <c r="A75" s="10" t="s">
        <v>386</v>
      </c>
      <c r="B75" s="10" t="s">
        <v>366</v>
      </c>
      <c r="C75" s="10" t="s">
        <v>387</v>
      </c>
      <c r="D75" s="10" t="s">
        <v>388</v>
      </c>
      <c r="E75" s="10" t="s">
        <v>389</v>
      </c>
      <c r="F75" s="10" t="s">
        <v>381</v>
      </c>
      <c r="G75" s="20" t="s">
        <v>31</v>
      </c>
      <c r="H75" s="9" t="s">
        <v>79</v>
      </c>
      <c r="I75" s="21" t="s">
        <v>52</v>
      </c>
      <c r="J75" s="10"/>
    </row>
    <row r="76" ht="15.75" customHeight="1">
      <c r="A76" s="10" t="s">
        <v>390</v>
      </c>
      <c r="B76" s="10" t="s">
        <v>366</v>
      </c>
      <c r="C76" s="10" t="s">
        <v>130</v>
      </c>
      <c r="D76" s="10" t="s">
        <v>391</v>
      </c>
      <c r="E76" s="10" t="s">
        <v>392</v>
      </c>
      <c r="F76" s="10" t="s">
        <v>234</v>
      </c>
      <c r="G76" s="20" t="s">
        <v>31</v>
      </c>
      <c r="H76" s="9" t="s">
        <v>79</v>
      </c>
      <c r="I76" s="21" t="s">
        <v>48</v>
      </c>
      <c r="J76" s="10"/>
    </row>
    <row r="77" ht="15.75" customHeight="1">
      <c r="A77" s="10" t="s">
        <v>393</v>
      </c>
      <c r="B77" s="10" t="s">
        <v>366</v>
      </c>
      <c r="C77" s="10" t="s">
        <v>394</v>
      </c>
      <c r="D77" s="10" t="s">
        <v>395</v>
      </c>
      <c r="E77" s="10" t="s">
        <v>396</v>
      </c>
      <c r="F77" s="10" t="s">
        <v>234</v>
      </c>
      <c r="G77" s="26" t="s">
        <v>43</v>
      </c>
      <c r="H77" s="23" t="s">
        <v>124</v>
      </c>
      <c r="I77" s="21" t="s">
        <v>52</v>
      </c>
      <c r="J77" s="10"/>
    </row>
    <row r="78" ht="15.75" customHeight="1">
      <c r="A78" s="10" t="s">
        <v>397</v>
      </c>
      <c r="B78" s="10" t="s">
        <v>398</v>
      </c>
      <c r="C78" s="10" t="s">
        <v>399</v>
      </c>
      <c r="D78" s="10" t="s">
        <v>400</v>
      </c>
      <c r="E78" s="10" t="s">
        <v>401</v>
      </c>
      <c r="F78" s="10" t="s">
        <v>402</v>
      </c>
      <c r="G78" s="20" t="s">
        <v>31</v>
      </c>
      <c r="H78" s="9" t="s">
        <v>79</v>
      </c>
      <c r="I78" s="21" t="s">
        <v>48</v>
      </c>
      <c r="J78" s="10"/>
    </row>
    <row r="79" ht="15.75" customHeight="1">
      <c r="A79" s="10" t="s">
        <v>403</v>
      </c>
      <c r="B79" s="10" t="s">
        <v>398</v>
      </c>
      <c r="C79" s="10" t="s">
        <v>404</v>
      </c>
      <c r="D79" s="10" t="s">
        <v>405</v>
      </c>
      <c r="E79" s="10" t="s">
        <v>406</v>
      </c>
      <c r="F79" s="10" t="s">
        <v>402</v>
      </c>
      <c r="G79" s="20" t="s">
        <v>31</v>
      </c>
      <c r="H79" s="9" t="s">
        <v>79</v>
      </c>
      <c r="I79" s="21" t="s">
        <v>48</v>
      </c>
      <c r="J79" s="10"/>
    </row>
    <row r="80" ht="15.75" customHeight="1">
      <c r="A80" s="10" t="s">
        <v>407</v>
      </c>
      <c r="B80" s="10" t="s">
        <v>398</v>
      </c>
      <c r="C80" s="10" t="s">
        <v>408</v>
      </c>
      <c r="D80" s="10" t="s">
        <v>409</v>
      </c>
      <c r="E80" s="10" t="s">
        <v>410</v>
      </c>
      <c r="F80" s="10" t="s">
        <v>411</v>
      </c>
      <c r="G80" s="20" t="s">
        <v>31</v>
      </c>
      <c r="H80" s="9" t="s">
        <v>79</v>
      </c>
      <c r="I80" s="21" t="s">
        <v>48</v>
      </c>
      <c r="J80" s="10"/>
    </row>
    <row r="81" ht="15.75" customHeight="1">
      <c r="A81" s="10" t="s">
        <v>412</v>
      </c>
      <c r="B81" s="10" t="s">
        <v>398</v>
      </c>
      <c r="C81" s="10" t="s">
        <v>408</v>
      </c>
      <c r="D81" s="10" t="s">
        <v>413</v>
      </c>
      <c r="E81" s="10" t="s">
        <v>414</v>
      </c>
      <c r="F81" s="10" t="s">
        <v>415</v>
      </c>
      <c r="G81" s="20" t="s">
        <v>31</v>
      </c>
      <c r="H81" s="9" t="s">
        <v>79</v>
      </c>
      <c r="I81" s="21" t="s">
        <v>48</v>
      </c>
      <c r="J81" s="10"/>
    </row>
    <row r="82" ht="23.25" customHeight="1">
      <c r="A82" s="10" t="s">
        <v>416</v>
      </c>
      <c r="B82" s="10" t="s">
        <v>398</v>
      </c>
      <c r="C82" s="10" t="s">
        <v>408</v>
      </c>
      <c r="D82" s="10" t="s">
        <v>417</v>
      </c>
      <c r="E82" s="10" t="s">
        <v>418</v>
      </c>
      <c r="F82" s="10" t="s">
        <v>415</v>
      </c>
      <c r="G82" s="26" t="s">
        <v>41</v>
      </c>
      <c r="H82" s="9" t="s">
        <v>79</v>
      </c>
      <c r="I82" s="21" t="s">
        <v>50</v>
      </c>
      <c r="J82" s="10"/>
    </row>
    <row r="83" ht="27.75" customHeight="1">
      <c r="A83" s="10" t="s">
        <v>419</v>
      </c>
      <c r="B83" s="10" t="s">
        <v>398</v>
      </c>
      <c r="C83" s="10" t="s">
        <v>408</v>
      </c>
      <c r="D83" s="10" t="s">
        <v>420</v>
      </c>
      <c r="E83" s="10" t="s">
        <v>421</v>
      </c>
      <c r="F83" s="10" t="s">
        <v>402</v>
      </c>
      <c r="G83" s="20" t="s">
        <v>31</v>
      </c>
      <c r="H83" s="9" t="s">
        <v>79</v>
      </c>
      <c r="I83" s="21" t="s">
        <v>50</v>
      </c>
      <c r="J83" s="22" t="s">
        <v>422</v>
      </c>
    </row>
    <row r="84" ht="26.25" customHeight="1">
      <c r="A84" s="10" t="s">
        <v>423</v>
      </c>
      <c r="B84" s="10" t="s">
        <v>398</v>
      </c>
      <c r="C84" s="10" t="s">
        <v>424</v>
      </c>
      <c r="D84" s="10" t="s">
        <v>425</v>
      </c>
      <c r="E84" s="10" t="s">
        <v>426</v>
      </c>
      <c r="F84" s="10" t="s">
        <v>83</v>
      </c>
      <c r="G84" s="20" t="s">
        <v>31</v>
      </c>
      <c r="H84" s="9" t="s">
        <v>79</v>
      </c>
      <c r="I84" s="21" t="s">
        <v>50</v>
      </c>
      <c r="J84" s="10"/>
    </row>
    <row r="85" ht="15.75" customHeight="1">
      <c r="A85" s="10" t="s">
        <v>427</v>
      </c>
      <c r="B85" s="10" t="s">
        <v>398</v>
      </c>
      <c r="C85" s="10" t="s">
        <v>408</v>
      </c>
      <c r="D85" s="10" t="s">
        <v>428</v>
      </c>
      <c r="E85" s="10" t="s">
        <v>429</v>
      </c>
      <c r="F85" s="10" t="s">
        <v>402</v>
      </c>
      <c r="G85" s="20" t="s">
        <v>31</v>
      </c>
      <c r="H85" s="9" t="s">
        <v>79</v>
      </c>
      <c r="I85" s="21" t="s">
        <v>48</v>
      </c>
      <c r="J85" s="10"/>
    </row>
    <row r="86" ht="15.75" customHeight="1">
      <c r="A86" s="10" t="s">
        <v>430</v>
      </c>
      <c r="B86" s="10" t="s">
        <v>398</v>
      </c>
      <c r="C86" s="10" t="s">
        <v>227</v>
      </c>
      <c r="D86" s="10" t="s">
        <v>431</v>
      </c>
      <c r="E86" s="10" t="s">
        <v>432</v>
      </c>
      <c r="F86" s="10" t="s">
        <v>276</v>
      </c>
      <c r="G86" s="26" t="s">
        <v>39</v>
      </c>
      <c r="H86" s="9" t="s">
        <v>79</v>
      </c>
      <c r="I86" s="21" t="s">
        <v>52</v>
      </c>
      <c r="J86" s="10"/>
    </row>
    <row r="87" ht="27.0" customHeight="1">
      <c r="A87" s="10" t="s">
        <v>433</v>
      </c>
      <c r="B87" s="10" t="s">
        <v>434</v>
      </c>
      <c r="C87" s="10" t="s">
        <v>435</v>
      </c>
      <c r="D87" s="10" t="s">
        <v>243</v>
      </c>
      <c r="E87" s="10" t="s">
        <v>436</v>
      </c>
      <c r="F87" s="10" t="s">
        <v>437</v>
      </c>
      <c r="G87" s="20" t="s">
        <v>31</v>
      </c>
      <c r="H87" s="9" t="s">
        <v>79</v>
      </c>
      <c r="I87" s="21" t="s">
        <v>48</v>
      </c>
      <c r="J87" s="22"/>
    </row>
    <row r="88" ht="15.75" customHeight="1">
      <c r="A88" s="10" t="s">
        <v>438</v>
      </c>
      <c r="B88" s="10" t="s">
        <v>434</v>
      </c>
      <c r="C88" s="10" t="s">
        <v>439</v>
      </c>
      <c r="D88" s="10" t="s">
        <v>247</v>
      </c>
      <c r="E88" s="10" t="s">
        <v>440</v>
      </c>
      <c r="F88" s="10" t="s">
        <v>437</v>
      </c>
      <c r="G88" s="20" t="s">
        <v>31</v>
      </c>
      <c r="H88" s="9" t="s">
        <v>79</v>
      </c>
      <c r="I88" s="21" t="s">
        <v>48</v>
      </c>
      <c r="J88" s="10"/>
    </row>
    <row r="89" ht="25.5" customHeight="1">
      <c r="A89" s="10" t="s">
        <v>441</v>
      </c>
      <c r="B89" s="10" t="s">
        <v>434</v>
      </c>
      <c r="C89" s="10" t="s">
        <v>442</v>
      </c>
      <c r="D89" s="10" t="s">
        <v>443</v>
      </c>
      <c r="E89" s="10" t="s">
        <v>444</v>
      </c>
      <c r="F89" s="10" t="s">
        <v>437</v>
      </c>
      <c r="G89" s="20" t="s">
        <v>31</v>
      </c>
      <c r="H89" s="9" t="s">
        <v>79</v>
      </c>
      <c r="I89" s="21" t="s">
        <v>48</v>
      </c>
      <c r="J89" s="10"/>
    </row>
    <row r="90" ht="15.75" customHeight="1">
      <c r="A90" s="10" t="s">
        <v>445</v>
      </c>
      <c r="B90" s="10" t="s">
        <v>434</v>
      </c>
      <c r="C90" s="10" t="s">
        <v>446</v>
      </c>
      <c r="D90" s="10" t="s">
        <v>447</v>
      </c>
      <c r="E90" s="10" t="s">
        <v>448</v>
      </c>
      <c r="F90" s="10" t="s">
        <v>234</v>
      </c>
      <c r="G90" s="20" t="s">
        <v>31</v>
      </c>
      <c r="H90" s="9" t="s">
        <v>79</v>
      </c>
      <c r="I90" s="21" t="s">
        <v>48</v>
      </c>
      <c r="J90" s="10"/>
    </row>
    <row r="91" ht="15.75" customHeight="1">
      <c r="A91" s="10" t="s">
        <v>449</v>
      </c>
      <c r="B91" s="10" t="s">
        <v>434</v>
      </c>
      <c r="C91" s="10" t="s">
        <v>446</v>
      </c>
      <c r="D91" s="10" t="s">
        <v>450</v>
      </c>
      <c r="E91" s="10" t="s">
        <v>451</v>
      </c>
      <c r="F91" s="10" t="s">
        <v>437</v>
      </c>
      <c r="G91" s="26" t="s">
        <v>43</v>
      </c>
      <c r="H91" s="9" t="s">
        <v>87</v>
      </c>
      <c r="I91" s="21" t="s">
        <v>52</v>
      </c>
      <c r="J91" s="10"/>
    </row>
    <row r="92" ht="24.75" customHeight="1">
      <c r="A92" s="10" t="s">
        <v>452</v>
      </c>
      <c r="B92" s="10" t="s">
        <v>434</v>
      </c>
      <c r="C92" s="10" t="s">
        <v>453</v>
      </c>
      <c r="D92" s="10" t="s">
        <v>454</v>
      </c>
      <c r="E92" s="10" t="s">
        <v>455</v>
      </c>
      <c r="F92" s="10" t="s">
        <v>437</v>
      </c>
      <c r="G92" s="20" t="s">
        <v>31</v>
      </c>
      <c r="H92" s="9" t="s">
        <v>87</v>
      </c>
      <c r="I92" s="21" t="s">
        <v>48</v>
      </c>
      <c r="J92" s="10"/>
    </row>
    <row r="93" ht="24.75" customHeight="1">
      <c r="A93" s="10" t="s">
        <v>456</v>
      </c>
      <c r="B93" s="10" t="s">
        <v>434</v>
      </c>
      <c r="C93" s="10" t="s">
        <v>435</v>
      </c>
      <c r="D93" s="10" t="s">
        <v>457</v>
      </c>
      <c r="E93" s="10" t="s">
        <v>458</v>
      </c>
      <c r="F93" s="10" t="s">
        <v>437</v>
      </c>
      <c r="G93" s="20" t="s">
        <v>31</v>
      </c>
      <c r="H93" s="9" t="s">
        <v>87</v>
      </c>
      <c r="I93" s="21" t="s">
        <v>52</v>
      </c>
      <c r="J93" s="10"/>
    </row>
    <row r="94" ht="24.0" customHeight="1">
      <c r="A94" s="10" t="s">
        <v>459</v>
      </c>
      <c r="B94" s="10" t="s">
        <v>434</v>
      </c>
      <c r="C94" s="10" t="s">
        <v>442</v>
      </c>
      <c r="D94" s="10" t="s">
        <v>460</v>
      </c>
      <c r="E94" s="10" t="s">
        <v>461</v>
      </c>
      <c r="F94" s="10" t="s">
        <v>437</v>
      </c>
      <c r="G94" s="20" t="s">
        <v>31</v>
      </c>
      <c r="H94" s="9" t="s">
        <v>87</v>
      </c>
      <c r="I94" s="21" t="s">
        <v>48</v>
      </c>
      <c r="J94" s="10"/>
    </row>
    <row r="95" ht="15.75" customHeight="1">
      <c r="A95" s="10" t="s">
        <v>462</v>
      </c>
      <c r="B95" s="10" t="s">
        <v>463</v>
      </c>
      <c r="C95" s="10" t="s">
        <v>464</v>
      </c>
      <c r="D95" s="10" t="s">
        <v>465</v>
      </c>
      <c r="E95" s="10" t="s">
        <v>466</v>
      </c>
      <c r="F95" s="10" t="s">
        <v>361</v>
      </c>
      <c r="G95" s="20" t="s">
        <v>31</v>
      </c>
      <c r="H95" s="23" t="s">
        <v>124</v>
      </c>
      <c r="I95" s="21" t="s">
        <v>48</v>
      </c>
      <c r="J95" s="10"/>
    </row>
    <row r="96" ht="24.75" customHeight="1">
      <c r="A96" s="10" t="s">
        <v>467</v>
      </c>
      <c r="B96" s="10" t="s">
        <v>463</v>
      </c>
      <c r="C96" s="10" t="s">
        <v>464</v>
      </c>
      <c r="D96" s="10" t="s">
        <v>468</v>
      </c>
      <c r="E96" s="10" t="s">
        <v>469</v>
      </c>
      <c r="F96" s="10" t="s">
        <v>361</v>
      </c>
      <c r="G96" s="26" t="s">
        <v>39</v>
      </c>
      <c r="H96" s="23" t="s">
        <v>124</v>
      </c>
      <c r="I96" s="21" t="s">
        <v>50</v>
      </c>
      <c r="J96" s="10"/>
    </row>
    <row r="97" ht="23.25" customHeight="1">
      <c r="A97" s="10" t="s">
        <v>470</v>
      </c>
      <c r="B97" s="10" t="s">
        <v>463</v>
      </c>
      <c r="C97" s="10" t="s">
        <v>471</v>
      </c>
      <c r="D97" s="10" t="s">
        <v>472</v>
      </c>
      <c r="E97" s="10" t="s">
        <v>473</v>
      </c>
      <c r="F97" s="10" t="s">
        <v>474</v>
      </c>
      <c r="G97" s="20" t="s">
        <v>31</v>
      </c>
      <c r="H97" s="9" t="s">
        <v>79</v>
      </c>
      <c r="I97" s="21" t="s">
        <v>48</v>
      </c>
      <c r="J97" s="10"/>
    </row>
    <row r="98" ht="15.75" customHeight="1">
      <c r="A98" s="10" t="s">
        <v>475</v>
      </c>
      <c r="B98" s="10" t="s">
        <v>463</v>
      </c>
      <c r="C98" s="10" t="s">
        <v>476</v>
      </c>
      <c r="D98" s="10" t="s">
        <v>477</v>
      </c>
      <c r="E98" s="10" t="s">
        <v>478</v>
      </c>
      <c r="F98" s="10" t="s">
        <v>361</v>
      </c>
      <c r="G98" s="20" t="s">
        <v>31</v>
      </c>
      <c r="H98" s="9" t="s">
        <v>79</v>
      </c>
      <c r="I98" s="21" t="s">
        <v>48</v>
      </c>
      <c r="J98" s="22"/>
    </row>
    <row r="99" ht="15.75" customHeight="1">
      <c r="A99" s="10" t="s">
        <v>479</v>
      </c>
      <c r="B99" s="10" t="s">
        <v>463</v>
      </c>
      <c r="C99" s="10" t="s">
        <v>476</v>
      </c>
      <c r="D99" s="10" t="s">
        <v>480</v>
      </c>
      <c r="E99" s="10" t="s">
        <v>481</v>
      </c>
      <c r="F99" s="10" t="s">
        <v>361</v>
      </c>
      <c r="G99" s="26" t="s">
        <v>43</v>
      </c>
      <c r="H99" s="9" t="s">
        <v>87</v>
      </c>
      <c r="I99" s="21" t="s">
        <v>52</v>
      </c>
      <c r="J99" s="10"/>
    </row>
    <row r="100" ht="27.75" customHeight="1">
      <c r="A100" s="10" t="s">
        <v>482</v>
      </c>
      <c r="B100" s="10" t="s">
        <v>463</v>
      </c>
      <c r="C100" s="10" t="s">
        <v>483</v>
      </c>
      <c r="D100" s="10" t="s">
        <v>484</v>
      </c>
      <c r="E100" s="10" t="s">
        <v>485</v>
      </c>
      <c r="F100" s="10" t="s">
        <v>486</v>
      </c>
      <c r="G100" s="20" t="s">
        <v>31</v>
      </c>
      <c r="H100" s="9" t="s">
        <v>79</v>
      </c>
      <c r="I100" s="21" t="s">
        <v>50</v>
      </c>
      <c r="J100" s="22" t="s">
        <v>487</v>
      </c>
    </row>
    <row r="101" ht="15.75" customHeight="1">
      <c r="A101" s="10" t="s">
        <v>488</v>
      </c>
      <c r="B101" s="10" t="s">
        <v>463</v>
      </c>
      <c r="C101" s="10" t="s">
        <v>483</v>
      </c>
      <c r="D101" s="10" t="s">
        <v>489</v>
      </c>
      <c r="E101" s="10" t="s">
        <v>490</v>
      </c>
      <c r="F101" s="10" t="s">
        <v>361</v>
      </c>
      <c r="G101" s="20" t="s">
        <v>31</v>
      </c>
      <c r="H101" s="9" t="s">
        <v>79</v>
      </c>
      <c r="I101" s="21" t="s">
        <v>50</v>
      </c>
      <c r="J101" s="22" t="s">
        <v>487</v>
      </c>
    </row>
    <row r="102" ht="23.25" customHeight="1">
      <c r="A102" s="10" t="s">
        <v>491</v>
      </c>
      <c r="B102" s="10" t="s">
        <v>463</v>
      </c>
      <c r="C102" s="10" t="s">
        <v>492</v>
      </c>
      <c r="D102" s="10" t="s">
        <v>493</v>
      </c>
      <c r="E102" s="10" t="s">
        <v>494</v>
      </c>
      <c r="F102" s="10" t="s">
        <v>495</v>
      </c>
      <c r="G102" s="20" t="s">
        <v>31</v>
      </c>
      <c r="H102" s="9" t="s">
        <v>79</v>
      </c>
      <c r="I102" s="21" t="s">
        <v>48</v>
      </c>
      <c r="J102" s="10"/>
    </row>
    <row r="103" ht="30.0" customHeight="1">
      <c r="A103" s="10" t="s">
        <v>496</v>
      </c>
      <c r="B103" s="10" t="s">
        <v>463</v>
      </c>
      <c r="C103" s="10" t="s">
        <v>497</v>
      </c>
      <c r="D103" s="10" t="s">
        <v>498</v>
      </c>
      <c r="E103" s="10" t="s">
        <v>499</v>
      </c>
      <c r="F103" s="10" t="s">
        <v>156</v>
      </c>
      <c r="G103" s="20" t="s">
        <v>31</v>
      </c>
      <c r="H103" s="9" t="s">
        <v>79</v>
      </c>
      <c r="I103" s="21" t="s">
        <v>48</v>
      </c>
      <c r="J103" s="10"/>
    </row>
    <row r="104" ht="23.25" customHeight="1">
      <c r="A104" s="10" t="s">
        <v>500</v>
      </c>
      <c r="B104" s="10" t="s">
        <v>463</v>
      </c>
      <c r="C104" s="10" t="s">
        <v>501</v>
      </c>
      <c r="D104" s="10" t="s">
        <v>502</v>
      </c>
      <c r="E104" s="10" t="s">
        <v>503</v>
      </c>
      <c r="F104" s="10" t="s">
        <v>361</v>
      </c>
      <c r="G104" s="20" t="s">
        <v>31</v>
      </c>
      <c r="H104" s="9" t="s">
        <v>79</v>
      </c>
      <c r="I104" s="21" t="s">
        <v>48</v>
      </c>
      <c r="J104" s="10"/>
    </row>
    <row r="105" ht="15.75" customHeight="1">
      <c r="A105" s="10" t="s">
        <v>504</v>
      </c>
      <c r="B105" s="10" t="s">
        <v>463</v>
      </c>
      <c r="C105" s="10" t="s">
        <v>333</v>
      </c>
      <c r="D105" s="10" t="s">
        <v>505</v>
      </c>
      <c r="E105" s="10" t="s">
        <v>506</v>
      </c>
      <c r="F105" s="10" t="s">
        <v>361</v>
      </c>
      <c r="G105" s="20" t="s">
        <v>31</v>
      </c>
      <c r="H105" s="9" t="s">
        <v>79</v>
      </c>
      <c r="I105" s="21" t="s">
        <v>48</v>
      </c>
      <c r="J105" s="10"/>
    </row>
    <row r="106" ht="15.75" customHeight="1">
      <c r="A106" s="10" t="s">
        <v>507</v>
      </c>
      <c r="B106" s="10" t="s">
        <v>463</v>
      </c>
      <c r="C106" s="10" t="s">
        <v>508</v>
      </c>
      <c r="D106" s="10" t="s">
        <v>509</v>
      </c>
      <c r="E106" s="10" t="s">
        <v>510</v>
      </c>
      <c r="F106" s="10" t="s">
        <v>361</v>
      </c>
      <c r="G106" s="20" t="s">
        <v>31</v>
      </c>
      <c r="H106" s="9" t="s">
        <v>79</v>
      </c>
      <c r="I106" s="21" t="s">
        <v>49</v>
      </c>
      <c r="J106" s="22" t="s">
        <v>511</v>
      </c>
    </row>
    <row r="107" ht="29.25" customHeight="1">
      <c r="A107" s="10" t="s">
        <v>512</v>
      </c>
      <c r="B107" s="10" t="s">
        <v>463</v>
      </c>
      <c r="C107" s="10" t="s">
        <v>508</v>
      </c>
      <c r="D107" s="10" t="s">
        <v>513</v>
      </c>
      <c r="E107" s="10" t="s">
        <v>514</v>
      </c>
      <c r="F107" s="10" t="s">
        <v>361</v>
      </c>
      <c r="G107" s="20" t="s">
        <v>31</v>
      </c>
      <c r="H107" s="9" t="s">
        <v>79</v>
      </c>
      <c r="I107" s="21" t="s">
        <v>48</v>
      </c>
      <c r="J107" s="10"/>
    </row>
    <row r="108" ht="15.75" customHeight="1">
      <c r="A108" s="10" t="s">
        <v>515</v>
      </c>
      <c r="B108" s="10" t="s">
        <v>463</v>
      </c>
      <c r="C108" s="10" t="s">
        <v>508</v>
      </c>
      <c r="D108" s="10" t="s">
        <v>516</v>
      </c>
      <c r="E108" s="10" t="s">
        <v>517</v>
      </c>
      <c r="F108" s="10" t="s">
        <v>361</v>
      </c>
      <c r="G108" s="26" t="s">
        <v>43</v>
      </c>
      <c r="H108" s="9" t="s">
        <v>87</v>
      </c>
      <c r="I108" s="21" t="s">
        <v>52</v>
      </c>
      <c r="J108" s="10"/>
    </row>
    <row r="109" ht="27.0" customHeight="1">
      <c r="A109" s="10" t="s">
        <v>518</v>
      </c>
      <c r="B109" s="10" t="s">
        <v>463</v>
      </c>
      <c r="C109" s="10" t="s">
        <v>370</v>
      </c>
      <c r="D109" s="10" t="s">
        <v>519</v>
      </c>
      <c r="E109" s="10" t="s">
        <v>520</v>
      </c>
      <c r="F109" s="10" t="s">
        <v>281</v>
      </c>
      <c r="G109" s="20" t="s">
        <v>31</v>
      </c>
      <c r="H109" s="9" t="s">
        <v>79</v>
      </c>
      <c r="I109" s="21" t="s">
        <v>48</v>
      </c>
      <c r="J109" s="10"/>
    </row>
    <row r="110" ht="27.0" customHeight="1">
      <c r="A110" s="10" t="s">
        <v>521</v>
      </c>
      <c r="B110" s="10" t="s">
        <v>463</v>
      </c>
      <c r="C110" s="10" t="s">
        <v>522</v>
      </c>
      <c r="D110" s="10" t="s">
        <v>523</v>
      </c>
      <c r="E110" s="10" t="s">
        <v>524</v>
      </c>
      <c r="F110" s="10" t="s">
        <v>142</v>
      </c>
      <c r="G110" s="20" t="s">
        <v>31</v>
      </c>
      <c r="H110" s="9" t="s">
        <v>79</v>
      </c>
      <c r="I110" s="21" t="s">
        <v>52</v>
      </c>
      <c r="J110" s="10"/>
    </row>
    <row r="111" ht="26.25" customHeight="1">
      <c r="A111" s="10" t="s">
        <v>525</v>
      </c>
      <c r="B111" s="10" t="s">
        <v>463</v>
      </c>
      <c r="C111" s="10" t="s">
        <v>526</v>
      </c>
      <c r="D111" s="10" t="s">
        <v>527</v>
      </c>
      <c r="E111" s="10" t="s">
        <v>528</v>
      </c>
      <c r="F111" s="10" t="s">
        <v>361</v>
      </c>
      <c r="G111" s="25" t="s">
        <v>35</v>
      </c>
      <c r="H111" s="9" t="s">
        <v>79</v>
      </c>
      <c r="I111" s="21" t="s">
        <v>52</v>
      </c>
      <c r="J111" s="22" t="s">
        <v>529</v>
      </c>
    </row>
    <row r="112" ht="15.75" customHeight="1">
      <c r="A112" s="10" t="s">
        <v>530</v>
      </c>
      <c r="B112" s="10" t="s">
        <v>463</v>
      </c>
      <c r="C112" s="10" t="s">
        <v>526</v>
      </c>
      <c r="D112" s="10" t="s">
        <v>531</v>
      </c>
      <c r="E112" s="10" t="s">
        <v>532</v>
      </c>
      <c r="F112" s="10" t="s">
        <v>361</v>
      </c>
      <c r="G112" s="25" t="s">
        <v>35</v>
      </c>
      <c r="H112" s="9" t="s">
        <v>79</v>
      </c>
      <c r="I112" s="21" t="s">
        <v>52</v>
      </c>
      <c r="J112" s="22" t="s">
        <v>529</v>
      </c>
    </row>
    <row r="113" ht="15.75" customHeight="1">
      <c r="A113" s="10" t="s">
        <v>533</v>
      </c>
      <c r="B113" s="10" t="s">
        <v>463</v>
      </c>
      <c r="C113" s="10" t="s">
        <v>534</v>
      </c>
      <c r="D113" s="10" t="s">
        <v>535</v>
      </c>
      <c r="E113" s="10" t="s">
        <v>536</v>
      </c>
      <c r="F113" s="10" t="s">
        <v>361</v>
      </c>
      <c r="G113" s="20" t="s">
        <v>31</v>
      </c>
      <c r="H113" s="9" t="s">
        <v>79</v>
      </c>
      <c r="I113" s="21" t="s">
        <v>48</v>
      </c>
      <c r="J113" s="10"/>
    </row>
    <row r="114" ht="26.25" customHeight="1">
      <c r="A114" s="10" t="s">
        <v>537</v>
      </c>
      <c r="B114" s="10" t="s">
        <v>463</v>
      </c>
      <c r="C114" s="10" t="s">
        <v>222</v>
      </c>
      <c r="D114" s="10" t="s">
        <v>538</v>
      </c>
      <c r="E114" s="10" t="s">
        <v>539</v>
      </c>
      <c r="F114" s="10" t="s">
        <v>225</v>
      </c>
      <c r="G114" s="20" t="s">
        <v>31</v>
      </c>
      <c r="H114" s="9" t="s">
        <v>79</v>
      </c>
      <c r="I114" s="21" t="s">
        <v>50</v>
      </c>
      <c r="J114" s="22" t="s">
        <v>540</v>
      </c>
    </row>
    <row r="115" ht="36.75" customHeight="1">
      <c r="A115" s="10" t="s">
        <v>541</v>
      </c>
      <c r="B115" s="10" t="s">
        <v>463</v>
      </c>
      <c r="C115" s="10" t="s">
        <v>542</v>
      </c>
      <c r="D115" s="10" t="s">
        <v>543</v>
      </c>
      <c r="E115" s="10" t="s">
        <v>544</v>
      </c>
      <c r="F115" s="10" t="s">
        <v>361</v>
      </c>
      <c r="G115" s="20" t="s">
        <v>31</v>
      </c>
      <c r="H115" s="9" t="s">
        <v>79</v>
      </c>
      <c r="I115" s="21" t="s">
        <v>50</v>
      </c>
      <c r="J115" s="22" t="s">
        <v>545</v>
      </c>
    </row>
    <row r="116" ht="28.5" customHeight="1">
      <c r="A116" s="10" t="s">
        <v>546</v>
      </c>
      <c r="B116" s="10" t="s">
        <v>463</v>
      </c>
      <c r="C116" s="10" t="s">
        <v>547</v>
      </c>
      <c r="D116" s="10" t="s">
        <v>548</v>
      </c>
      <c r="E116" s="10" t="s">
        <v>549</v>
      </c>
      <c r="F116" s="10" t="s">
        <v>361</v>
      </c>
      <c r="G116" s="20" t="s">
        <v>31</v>
      </c>
      <c r="H116" s="23" t="s">
        <v>124</v>
      </c>
      <c r="I116" s="21" t="s">
        <v>49</v>
      </c>
      <c r="J116" s="22" t="s">
        <v>550</v>
      </c>
    </row>
    <row r="117" ht="15.75" customHeight="1">
      <c r="A117" s="10" t="s">
        <v>551</v>
      </c>
      <c r="B117" s="10" t="s">
        <v>463</v>
      </c>
      <c r="C117" s="10" t="s">
        <v>547</v>
      </c>
      <c r="D117" s="10" t="s">
        <v>552</v>
      </c>
      <c r="E117" s="10" t="s">
        <v>553</v>
      </c>
      <c r="F117" s="10" t="s">
        <v>361</v>
      </c>
      <c r="G117" s="20" t="s">
        <v>31</v>
      </c>
      <c r="H117" s="9" t="s">
        <v>79</v>
      </c>
      <c r="I117" s="21" t="s">
        <v>49</v>
      </c>
      <c r="J117" s="22" t="s">
        <v>554</v>
      </c>
    </row>
    <row r="118" ht="15.75" customHeight="1">
      <c r="A118" s="10" t="s">
        <v>555</v>
      </c>
      <c r="B118" s="10" t="s">
        <v>463</v>
      </c>
      <c r="C118" s="10" t="s">
        <v>547</v>
      </c>
      <c r="D118" s="10" t="s">
        <v>556</v>
      </c>
      <c r="E118" s="10" t="s">
        <v>557</v>
      </c>
      <c r="F118" s="10" t="s">
        <v>361</v>
      </c>
      <c r="G118" s="20" t="s">
        <v>31</v>
      </c>
      <c r="H118" s="9" t="s">
        <v>79</v>
      </c>
      <c r="I118" s="21" t="s">
        <v>49</v>
      </c>
      <c r="J118" s="22" t="s">
        <v>554</v>
      </c>
    </row>
    <row r="119" ht="27.75" customHeight="1">
      <c r="A119" s="10" t="s">
        <v>558</v>
      </c>
      <c r="B119" s="10" t="s">
        <v>463</v>
      </c>
      <c r="C119" s="10" t="s">
        <v>559</v>
      </c>
      <c r="D119" s="10" t="s">
        <v>560</v>
      </c>
      <c r="E119" s="10" t="s">
        <v>561</v>
      </c>
      <c r="F119" s="10" t="s">
        <v>361</v>
      </c>
      <c r="G119" s="20" t="s">
        <v>31</v>
      </c>
      <c r="H119" s="9" t="s">
        <v>79</v>
      </c>
      <c r="I119" s="21" t="s">
        <v>48</v>
      </c>
      <c r="J119" s="10"/>
    </row>
    <row r="120" ht="25.5" customHeight="1">
      <c r="A120" s="10" t="s">
        <v>562</v>
      </c>
      <c r="B120" s="10" t="s">
        <v>463</v>
      </c>
      <c r="C120" s="10" t="s">
        <v>236</v>
      </c>
      <c r="D120" s="10" t="s">
        <v>563</v>
      </c>
      <c r="E120" s="10" t="s">
        <v>564</v>
      </c>
      <c r="F120" s="10" t="s">
        <v>361</v>
      </c>
      <c r="G120" s="20" t="s">
        <v>31</v>
      </c>
      <c r="H120" s="9" t="s">
        <v>79</v>
      </c>
      <c r="I120" s="21" t="s">
        <v>49</v>
      </c>
      <c r="J120" s="22" t="s">
        <v>565</v>
      </c>
    </row>
    <row r="121" ht="25.5" customHeight="1">
      <c r="A121" s="10" t="s">
        <v>566</v>
      </c>
      <c r="B121" s="10" t="s">
        <v>463</v>
      </c>
      <c r="C121" s="10" t="s">
        <v>567</v>
      </c>
      <c r="D121" s="10" t="s">
        <v>568</v>
      </c>
      <c r="E121" s="10" t="s">
        <v>569</v>
      </c>
      <c r="F121" s="10" t="s">
        <v>156</v>
      </c>
      <c r="G121" s="20" t="s">
        <v>31</v>
      </c>
      <c r="H121" s="9" t="s">
        <v>79</v>
      </c>
      <c r="I121" s="21" t="s">
        <v>48</v>
      </c>
      <c r="J121" s="10"/>
    </row>
    <row r="122" ht="26.25" customHeight="1">
      <c r="A122" s="10" t="s">
        <v>570</v>
      </c>
      <c r="B122" s="10" t="s">
        <v>571</v>
      </c>
      <c r="C122" s="10" t="s">
        <v>572</v>
      </c>
      <c r="D122" s="10" t="s">
        <v>573</v>
      </c>
      <c r="E122" s="10" t="s">
        <v>574</v>
      </c>
      <c r="F122" s="10" t="s">
        <v>575</v>
      </c>
      <c r="G122" s="20" t="s">
        <v>31</v>
      </c>
      <c r="H122" s="23" t="s">
        <v>124</v>
      </c>
      <c r="I122" s="21" t="s">
        <v>48</v>
      </c>
      <c r="J122" s="10"/>
    </row>
    <row r="123" ht="15.75" customHeight="1">
      <c r="A123" s="10" t="s">
        <v>576</v>
      </c>
      <c r="B123" s="10" t="s">
        <v>571</v>
      </c>
      <c r="C123" s="10" t="s">
        <v>577</v>
      </c>
      <c r="D123" s="10" t="s">
        <v>578</v>
      </c>
      <c r="E123" s="10" t="s">
        <v>579</v>
      </c>
      <c r="F123" s="10" t="s">
        <v>361</v>
      </c>
      <c r="G123" s="20" t="s">
        <v>31</v>
      </c>
      <c r="H123" s="23" t="s">
        <v>124</v>
      </c>
      <c r="I123" s="21" t="s">
        <v>52</v>
      </c>
      <c r="J123" s="22" t="s">
        <v>326</v>
      </c>
    </row>
    <row r="124" ht="15.75" customHeight="1">
      <c r="A124" s="10" t="s">
        <v>580</v>
      </c>
      <c r="B124" s="10" t="s">
        <v>571</v>
      </c>
      <c r="C124" s="10" t="s">
        <v>581</v>
      </c>
      <c r="D124" s="10" t="s">
        <v>582</v>
      </c>
      <c r="E124" s="10" t="s">
        <v>583</v>
      </c>
      <c r="F124" s="10" t="s">
        <v>361</v>
      </c>
      <c r="G124" s="20" t="s">
        <v>31</v>
      </c>
      <c r="H124" s="23" t="s">
        <v>124</v>
      </c>
      <c r="I124" s="21" t="s">
        <v>50</v>
      </c>
      <c r="J124" s="22" t="s">
        <v>326</v>
      </c>
    </row>
    <row r="125" ht="23.25" customHeight="1">
      <c r="A125" s="10" t="s">
        <v>584</v>
      </c>
      <c r="B125" s="10" t="s">
        <v>571</v>
      </c>
      <c r="C125" s="10" t="s">
        <v>585</v>
      </c>
      <c r="D125" s="10" t="s">
        <v>586</v>
      </c>
      <c r="E125" s="10" t="s">
        <v>587</v>
      </c>
      <c r="F125" s="10" t="s">
        <v>361</v>
      </c>
      <c r="G125" s="20" t="s">
        <v>31</v>
      </c>
      <c r="H125" s="9" t="s">
        <v>79</v>
      </c>
      <c r="I125" s="21" t="s">
        <v>52</v>
      </c>
      <c r="J125" s="22" t="s">
        <v>326</v>
      </c>
    </row>
    <row r="126" ht="15.75" customHeight="1">
      <c r="A126" s="10" t="s">
        <v>588</v>
      </c>
      <c r="B126" s="10" t="s">
        <v>571</v>
      </c>
      <c r="C126" s="10" t="s">
        <v>589</v>
      </c>
      <c r="D126" s="10" t="s">
        <v>590</v>
      </c>
      <c r="E126" s="10" t="s">
        <v>591</v>
      </c>
      <c r="F126" s="10" t="s">
        <v>361</v>
      </c>
      <c r="G126" s="20" t="s">
        <v>31</v>
      </c>
      <c r="H126" s="9" t="s">
        <v>79</v>
      </c>
      <c r="I126" s="21" t="s">
        <v>52</v>
      </c>
      <c r="J126" s="22" t="s">
        <v>326</v>
      </c>
    </row>
    <row r="127" ht="29.25" customHeight="1">
      <c r="A127" s="10" t="s">
        <v>592</v>
      </c>
      <c r="B127" s="10" t="s">
        <v>571</v>
      </c>
      <c r="C127" s="10" t="s">
        <v>581</v>
      </c>
      <c r="D127" s="10" t="s">
        <v>593</v>
      </c>
      <c r="E127" s="10" t="s">
        <v>594</v>
      </c>
      <c r="F127" s="10" t="s">
        <v>361</v>
      </c>
      <c r="G127" s="20" t="s">
        <v>31</v>
      </c>
      <c r="H127" s="9" t="s">
        <v>79</v>
      </c>
      <c r="I127" s="21" t="s">
        <v>52</v>
      </c>
      <c r="J127" s="22" t="s">
        <v>326</v>
      </c>
    </row>
    <row r="128" ht="15.75" customHeight="1">
      <c r="A128" s="10" t="s">
        <v>595</v>
      </c>
      <c r="B128" s="10" t="s">
        <v>571</v>
      </c>
      <c r="C128" s="10" t="s">
        <v>596</v>
      </c>
      <c r="D128" s="10" t="s">
        <v>597</v>
      </c>
      <c r="E128" s="10" t="s">
        <v>598</v>
      </c>
      <c r="F128" s="10" t="s">
        <v>361</v>
      </c>
      <c r="G128" s="26" t="s">
        <v>39</v>
      </c>
      <c r="H128" s="23" t="s">
        <v>124</v>
      </c>
      <c r="I128" s="21" t="s">
        <v>52</v>
      </c>
      <c r="J128" s="10"/>
    </row>
    <row r="129" ht="15.75" customHeight="1">
      <c r="A129" s="10" t="s">
        <v>599</v>
      </c>
      <c r="B129" s="10" t="s">
        <v>571</v>
      </c>
      <c r="C129" s="10" t="s">
        <v>600</v>
      </c>
      <c r="D129" s="10" t="s">
        <v>601</v>
      </c>
      <c r="E129" s="10" t="s">
        <v>602</v>
      </c>
      <c r="F129" s="10" t="s">
        <v>361</v>
      </c>
      <c r="G129" s="26" t="s">
        <v>43</v>
      </c>
      <c r="H129" s="9" t="s">
        <v>79</v>
      </c>
      <c r="I129" s="21" t="s">
        <v>52</v>
      </c>
      <c r="J129" s="10"/>
    </row>
    <row r="130" ht="15.75" customHeight="1">
      <c r="A130" s="10" t="s">
        <v>603</v>
      </c>
      <c r="B130" s="10" t="s">
        <v>571</v>
      </c>
      <c r="C130" s="10" t="s">
        <v>604</v>
      </c>
      <c r="D130" s="10" t="s">
        <v>605</v>
      </c>
      <c r="E130" s="10" t="s">
        <v>606</v>
      </c>
      <c r="F130" s="10" t="s">
        <v>607</v>
      </c>
      <c r="G130" s="20" t="s">
        <v>31</v>
      </c>
      <c r="H130" s="23" t="s">
        <v>124</v>
      </c>
      <c r="I130" s="21" t="s">
        <v>52</v>
      </c>
      <c r="J130" s="22" t="s">
        <v>326</v>
      </c>
    </row>
    <row r="131" ht="15.75" customHeight="1">
      <c r="A131" s="10" t="s">
        <v>608</v>
      </c>
      <c r="B131" s="10" t="s">
        <v>571</v>
      </c>
      <c r="C131" s="10" t="s">
        <v>609</v>
      </c>
      <c r="D131" s="10" t="s">
        <v>610</v>
      </c>
      <c r="E131" s="10" t="s">
        <v>611</v>
      </c>
      <c r="F131" s="10" t="s">
        <v>612</v>
      </c>
      <c r="G131" s="20" t="s">
        <v>31</v>
      </c>
      <c r="H131" s="23" t="s">
        <v>124</v>
      </c>
      <c r="I131" s="21" t="s">
        <v>52</v>
      </c>
      <c r="J131" s="22" t="s">
        <v>326</v>
      </c>
    </row>
    <row r="132" ht="27.0" customHeight="1">
      <c r="A132" s="10" t="s">
        <v>613</v>
      </c>
      <c r="B132" s="10" t="s">
        <v>571</v>
      </c>
      <c r="C132" s="10" t="s">
        <v>614</v>
      </c>
      <c r="D132" s="10" t="s">
        <v>615</v>
      </c>
      <c r="E132" s="10" t="s">
        <v>616</v>
      </c>
      <c r="F132" s="10" t="s">
        <v>617</v>
      </c>
      <c r="G132" s="26" t="s">
        <v>43</v>
      </c>
      <c r="H132" s="23" t="s">
        <v>124</v>
      </c>
      <c r="I132" s="21" t="s">
        <v>52</v>
      </c>
      <c r="J132" s="22" t="s">
        <v>326</v>
      </c>
    </row>
    <row r="133" ht="22.5" customHeight="1">
      <c r="A133" s="10" t="s">
        <v>618</v>
      </c>
      <c r="B133" s="10" t="s">
        <v>619</v>
      </c>
      <c r="C133" s="10" t="s">
        <v>620</v>
      </c>
      <c r="D133" s="10" t="s">
        <v>621</v>
      </c>
      <c r="E133" s="10" t="s">
        <v>622</v>
      </c>
      <c r="F133" s="10" t="s">
        <v>623</v>
      </c>
      <c r="G133" s="20" t="s">
        <v>31</v>
      </c>
      <c r="H133" s="9" t="s">
        <v>79</v>
      </c>
      <c r="I133" s="21" t="s">
        <v>52</v>
      </c>
      <c r="J133" s="22" t="s">
        <v>326</v>
      </c>
    </row>
    <row r="134" ht="15.75" customHeight="1">
      <c r="A134" s="10" t="s">
        <v>624</v>
      </c>
      <c r="B134" s="10" t="s">
        <v>619</v>
      </c>
      <c r="C134" s="10" t="s">
        <v>625</v>
      </c>
      <c r="D134" s="10" t="s">
        <v>626</v>
      </c>
      <c r="E134" s="10" t="s">
        <v>627</v>
      </c>
      <c r="F134" s="10" t="s">
        <v>628</v>
      </c>
      <c r="G134" s="20" t="s">
        <v>31</v>
      </c>
      <c r="H134" s="9" t="s">
        <v>79</v>
      </c>
      <c r="I134" s="21" t="s">
        <v>52</v>
      </c>
      <c r="J134" s="22" t="s">
        <v>326</v>
      </c>
    </row>
    <row r="135" ht="15.75" customHeight="1">
      <c r="A135" s="10" t="s">
        <v>629</v>
      </c>
      <c r="B135" s="10" t="s">
        <v>619</v>
      </c>
      <c r="C135" s="10" t="s">
        <v>630</v>
      </c>
      <c r="D135" s="10" t="s">
        <v>631</v>
      </c>
      <c r="E135" s="10" t="s">
        <v>632</v>
      </c>
      <c r="F135" s="10" t="s">
        <v>633</v>
      </c>
      <c r="G135" s="20" t="s">
        <v>31</v>
      </c>
      <c r="H135" s="9" t="s">
        <v>79</v>
      </c>
      <c r="I135" s="21" t="s">
        <v>52</v>
      </c>
      <c r="J135" s="22" t="s">
        <v>326</v>
      </c>
    </row>
    <row r="136" ht="15.75" customHeight="1">
      <c r="A136" s="10" t="s">
        <v>634</v>
      </c>
      <c r="B136" s="10" t="s">
        <v>619</v>
      </c>
      <c r="C136" s="10" t="s">
        <v>635</v>
      </c>
      <c r="D136" s="10" t="s">
        <v>636</v>
      </c>
      <c r="E136" s="10" t="s">
        <v>637</v>
      </c>
      <c r="F136" s="10" t="s">
        <v>128</v>
      </c>
      <c r="G136" s="20" t="s">
        <v>31</v>
      </c>
      <c r="H136" s="9" t="s">
        <v>79</v>
      </c>
      <c r="I136" s="21" t="s">
        <v>52</v>
      </c>
      <c r="J136" s="22" t="s">
        <v>326</v>
      </c>
    </row>
    <row r="137" ht="15.75" customHeight="1">
      <c r="A137" s="10" t="s">
        <v>638</v>
      </c>
      <c r="B137" s="10" t="s">
        <v>619</v>
      </c>
      <c r="C137" s="10" t="s">
        <v>639</v>
      </c>
      <c r="D137" s="10" t="s">
        <v>640</v>
      </c>
      <c r="E137" s="10" t="s">
        <v>641</v>
      </c>
      <c r="F137" s="10" t="s">
        <v>642</v>
      </c>
      <c r="G137" s="20" t="s">
        <v>31</v>
      </c>
      <c r="H137" s="9" t="s">
        <v>79</v>
      </c>
      <c r="I137" s="21" t="s">
        <v>52</v>
      </c>
      <c r="J137" s="22" t="s">
        <v>326</v>
      </c>
    </row>
    <row r="138" ht="15.75" customHeight="1">
      <c r="A138" s="10" t="s">
        <v>643</v>
      </c>
      <c r="B138" s="10" t="s">
        <v>619</v>
      </c>
      <c r="C138" s="10" t="s">
        <v>567</v>
      </c>
      <c r="D138" s="10" t="s">
        <v>644</v>
      </c>
      <c r="E138" s="10" t="s">
        <v>645</v>
      </c>
      <c r="F138" s="10" t="s">
        <v>642</v>
      </c>
      <c r="G138" s="20" t="s">
        <v>31</v>
      </c>
      <c r="H138" s="9" t="s">
        <v>79</v>
      </c>
      <c r="I138" s="21" t="s">
        <v>52</v>
      </c>
      <c r="J138" s="22" t="s">
        <v>326</v>
      </c>
    </row>
    <row r="139" ht="15.75" customHeight="1">
      <c r="A139" s="10" t="s">
        <v>646</v>
      </c>
      <c r="B139" s="10" t="s">
        <v>619</v>
      </c>
      <c r="C139" s="10" t="s">
        <v>647</v>
      </c>
      <c r="D139" s="10" t="s">
        <v>648</v>
      </c>
      <c r="E139" s="10" t="s">
        <v>649</v>
      </c>
      <c r="F139" s="10" t="s">
        <v>650</v>
      </c>
      <c r="G139" s="20" t="s">
        <v>31</v>
      </c>
      <c r="H139" s="9" t="s">
        <v>79</v>
      </c>
      <c r="I139" s="21" t="s">
        <v>52</v>
      </c>
      <c r="J139" s="22" t="s">
        <v>326</v>
      </c>
    </row>
    <row r="140" ht="15.75" customHeight="1">
      <c r="A140" s="10" t="s">
        <v>651</v>
      </c>
      <c r="B140" s="10" t="s">
        <v>619</v>
      </c>
      <c r="C140" s="10" t="s">
        <v>652</v>
      </c>
      <c r="D140" s="10" t="s">
        <v>653</v>
      </c>
      <c r="E140" s="10" t="s">
        <v>654</v>
      </c>
      <c r="F140" s="10" t="s">
        <v>655</v>
      </c>
      <c r="G140" s="20" t="s">
        <v>31</v>
      </c>
      <c r="H140" s="9" t="s">
        <v>87</v>
      </c>
      <c r="I140" s="21" t="s">
        <v>52</v>
      </c>
      <c r="J140" s="22" t="s">
        <v>326</v>
      </c>
    </row>
    <row r="141" ht="15.75" customHeight="1">
      <c r="A141" s="10" t="s">
        <v>656</v>
      </c>
      <c r="B141" s="10" t="s">
        <v>619</v>
      </c>
      <c r="C141" s="10" t="s">
        <v>657</v>
      </c>
      <c r="D141" s="10" t="s">
        <v>658</v>
      </c>
      <c r="E141" s="10" t="s">
        <v>659</v>
      </c>
      <c r="F141" s="10" t="s">
        <v>633</v>
      </c>
      <c r="G141" s="20" t="s">
        <v>31</v>
      </c>
      <c r="H141" s="9" t="s">
        <v>79</v>
      </c>
      <c r="I141" s="21" t="s">
        <v>52</v>
      </c>
      <c r="J141" s="22" t="s">
        <v>326</v>
      </c>
    </row>
    <row r="142" ht="15.75" customHeight="1">
      <c r="A142" s="10" t="s">
        <v>660</v>
      </c>
      <c r="B142" s="10" t="s">
        <v>619</v>
      </c>
      <c r="C142" s="10" t="s">
        <v>661</v>
      </c>
      <c r="D142" s="10" t="s">
        <v>662</v>
      </c>
      <c r="E142" s="10" t="s">
        <v>663</v>
      </c>
      <c r="F142" s="10" t="s">
        <v>664</v>
      </c>
      <c r="G142" s="26" t="s">
        <v>39</v>
      </c>
      <c r="H142" s="9" t="s">
        <v>79</v>
      </c>
      <c r="I142" s="21" t="s">
        <v>52</v>
      </c>
      <c r="J142" s="22" t="s">
        <v>326</v>
      </c>
    </row>
    <row r="143" ht="15.75" customHeight="1">
      <c r="A143" s="10" t="s">
        <v>665</v>
      </c>
      <c r="B143" s="10" t="s">
        <v>619</v>
      </c>
      <c r="C143" s="10" t="s">
        <v>666</v>
      </c>
      <c r="D143" s="10" t="s">
        <v>667</v>
      </c>
      <c r="E143" s="10" t="s">
        <v>668</v>
      </c>
      <c r="F143" s="10" t="s">
        <v>664</v>
      </c>
      <c r="G143" s="26" t="s">
        <v>39</v>
      </c>
      <c r="H143" s="9" t="s">
        <v>79</v>
      </c>
      <c r="I143" s="21" t="s">
        <v>52</v>
      </c>
      <c r="J143" s="22" t="s">
        <v>326</v>
      </c>
    </row>
    <row r="144" ht="15.75" customHeight="1">
      <c r="A144" s="10" t="s">
        <v>669</v>
      </c>
      <c r="B144" s="10" t="s">
        <v>670</v>
      </c>
      <c r="C144" s="10" t="s">
        <v>671</v>
      </c>
      <c r="D144" s="10" t="s">
        <v>672</v>
      </c>
      <c r="E144" s="10" t="s">
        <v>673</v>
      </c>
      <c r="F144" s="10" t="s">
        <v>674</v>
      </c>
      <c r="G144" s="20" t="s">
        <v>31</v>
      </c>
      <c r="H144" s="23" t="s">
        <v>124</v>
      </c>
      <c r="I144" s="21" t="s">
        <v>52</v>
      </c>
      <c r="J144" s="22" t="s">
        <v>326</v>
      </c>
    </row>
    <row r="145" ht="15.75" customHeight="1">
      <c r="A145" s="10" t="s">
        <v>675</v>
      </c>
      <c r="B145" s="10" t="s">
        <v>670</v>
      </c>
      <c r="C145" s="10" t="s">
        <v>676</v>
      </c>
      <c r="D145" s="10" t="s">
        <v>677</v>
      </c>
      <c r="E145" s="10" t="s">
        <v>678</v>
      </c>
      <c r="F145" s="10" t="s">
        <v>612</v>
      </c>
      <c r="G145" s="20" t="s">
        <v>31</v>
      </c>
      <c r="H145" s="9" t="s">
        <v>79</v>
      </c>
      <c r="I145" s="21" t="s">
        <v>52</v>
      </c>
      <c r="J145" s="22" t="s">
        <v>326</v>
      </c>
    </row>
    <row r="146" ht="15.75" customHeight="1">
      <c r="A146" s="10" t="s">
        <v>679</v>
      </c>
      <c r="B146" s="10" t="s">
        <v>670</v>
      </c>
      <c r="C146" s="10" t="s">
        <v>680</v>
      </c>
      <c r="D146" s="10" t="s">
        <v>681</v>
      </c>
      <c r="E146" s="10" t="s">
        <v>682</v>
      </c>
      <c r="F146" s="10" t="s">
        <v>612</v>
      </c>
      <c r="G146" s="20" t="s">
        <v>31</v>
      </c>
      <c r="H146" s="9" t="s">
        <v>79</v>
      </c>
      <c r="I146" s="21" t="s">
        <v>52</v>
      </c>
      <c r="J146" s="22" t="s">
        <v>326</v>
      </c>
    </row>
    <row r="147" ht="15.75" customHeight="1">
      <c r="A147" s="10" t="s">
        <v>683</v>
      </c>
      <c r="B147" s="10" t="s">
        <v>670</v>
      </c>
      <c r="C147" s="10" t="s">
        <v>684</v>
      </c>
      <c r="D147" s="10" t="s">
        <v>620</v>
      </c>
      <c r="E147" s="10" t="s">
        <v>685</v>
      </c>
      <c r="F147" s="10" t="s">
        <v>612</v>
      </c>
      <c r="G147" s="20" t="s">
        <v>31</v>
      </c>
      <c r="H147" s="23" t="s">
        <v>124</v>
      </c>
      <c r="I147" s="21" t="s">
        <v>52</v>
      </c>
      <c r="J147" s="22" t="s">
        <v>326</v>
      </c>
    </row>
    <row r="148" ht="15.75" customHeight="1">
      <c r="A148" s="10" t="s">
        <v>686</v>
      </c>
      <c r="B148" s="10" t="s">
        <v>670</v>
      </c>
      <c r="C148" s="10" t="s">
        <v>687</v>
      </c>
      <c r="D148" s="10" t="s">
        <v>688</v>
      </c>
      <c r="E148" s="10" t="s">
        <v>689</v>
      </c>
      <c r="F148" s="10" t="s">
        <v>612</v>
      </c>
      <c r="G148" s="26" t="s">
        <v>43</v>
      </c>
      <c r="H148" s="23" t="s">
        <v>124</v>
      </c>
      <c r="I148" s="21" t="s">
        <v>52</v>
      </c>
      <c r="J148" s="22" t="s">
        <v>326</v>
      </c>
    </row>
    <row r="149" ht="15.75" customHeight="1">
      <c r="A149" s="10" t="s">
        <v>690</v>
      </c>
      <c r="B149" s="10" t="s">
        <v>670</v>
      </c>
      <c r="C149" s="10" t="s">
        <v>604</v>
      </c>
      <c r="D149" s="10" t="s">
        <v>691</v>
      </c>
      <c r="E149" s="10" t="s">
        <v>692</v>
      </c>
      <c r="F149" s="10" t="s">
        <v>693</v>
      </c>
      <c r="G149" s="26" t="s">
        <v>43</v>
      </c>
      <c r="H149" s="9" t="s">
        <v>79</v>
      </c>
      <c r="I149" s="21" t="s">
        <v>52</v>
      </c>
      <c r="J149" s="22" t="s">
        <v>326</v>
      </c>
    </row>
    <row r="150" ht="15.75" customHeight="1">
      <c r="A150" s="10" t="s">
        <v>694</v>
      </c>
      <c r="B150" s="10" t="s">
        <v>670</v>
      </c>
      <c r="C150" s="10" t="s">
        <v>695</v>
      </c>
      <c r="D150" s="10" t="s">
        <v>696</v>
      </c>
      <c r="E150" s="10" t="s">
        <v>697</v>
      </c>
      <c r="F150" s="10" t="s">
        <v>698</v>
      </c>
      <c r="G150" s="20" t="s">
        <v>31</v>
      </c>
      <c r="H150" s="9" t="s">
        <v>79</v>
      </c>
      <c r="I150" s="21" t="s">
        <v>48</v>
      </c>
      <c r="J150" s="22" t="s">
        <v>326</v>
      </c>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150"/>
  <dataValidations>
    <dataValidation type="list" allowBlank="1" sqref="I5:I150">
      <formula1>"OK,KO,À revoir,Sans objet,Non testé"</formula1>
    </dataValidation>
  </dataValidations>
  <hyperlinks>
    <hyperlink r:id="rId1" ref="J19"/>
    <hyperlink r:id="rId2" ref="J46"/>
    <hyperlink r:id="rId3" ref="J48"/>
  </hyperlinks>
  <printOptions/>
  <pageMargins bottom="1.0" footer="0.0" header="0.0" left="0.75" right="0.75" top="1.0"/>
  <pageSetup fitToHeight="0"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4.0"/>
    <col customWidth="1" min="3" max="3" width="46.0"/>
    <col customWidth="1" min="4" max="4" width="56.0"/>
    <col customWidth="1" min="5" max="5" width="16.0"/>
    <col customWidth="1" min="6" max="6" width="26.0"/>
    <col customWidth="1" min="7" max="7" width="20.0"/>
    <col customWidth="1" min="8" max="8" width="26.0"/>
    <col customWidth="1" min="9" max="26" width="8.71"/>
  </cols>
  <sheetData>
    <row r="1">
      <c r="A1" s="19" t="s">
        <v>15</v>
      </c>
    </row>
    <row r="2">
      <c r="A2" s="2" t="s">
        <v>699</v>
      </c>
    </row>
    <row r="4" ht="30.0" customHeight="1">
      <c r="A4" s="7" t="s">
        <v>700</v>
      </c>
      <c r="B4" s="7" t="s">
        <v>701</v>
      </c>
      <c r="C4" s="7" t="s">
        <v>702</v>
      </c>
      <c r="D4" s="7" t="s">
        <v>703</v>
      </c>
      <c r="E4" s="7" t="s">
        <v>704</v>
      </c>
      <c r="F4" s="7" t="s">
        <v>705</v>
      </c>
      <c r="G4" s="7" t="s">
        <v>706</v>
      </c>
      <c r="H4" s="7" t="s">
        <v>707</v>
      </c>
    </row>
    <row r="5">
      <c r="A5" s="9">
        <v>1.0</v>
      </c>
      <c r="B5" s="10" t="s">
        <v>708</v>
      </c>
      <c r="C5" s="10" t="s">
        <v>709</v>
      </c>
      <c r="D5" s="10" t="s">
        <v>710</v>
      </c>
      <c r="E5" s="23" t="s">
        <v>711</v>
      </c>
      <c r="F5" s="10" t="s">
        <v>712</v>
      </c>
      <c r="G5" s="10" t="s">
        <v>713</v>
      </c>
      <c r="H5" s="10"/>
    </row>
    <row r="6">
      <c r="A6" s="9">
        <v>2.0</v>
      </c>
      <c r="B6" s="10" t="s">
        <v>714</v>
      </c>
      <c r="C6" s="10" t="s">
        <v>715</v>
      </c>
      <c r="D6" s="10" t="s">
        <v>716</v>
      </c>
      <c r="E6" s="23" t="s">
        <v>711</v>
      </c>
      <c r="F6" s="10" t="s">
        <v>717</v>
      </c>
      <c r="G6" s="10" t="s">
        <v>718</v>
      </c>
      <c r="H6" s="10"/>
    </row>
    <row r="7">
      <c r="A7" s="9">
        <v>3.0</v>
      </c>
      <c r="B7" s="10" t="s">
        <v>714</v>
      </c>
      <c r="C7" s="10" t="s">
        <v>719</v>
      </c>
      <c r="D7" s="10" t="s">
        <v>720</v>
      </c>
      <c r="E7" s="23" t="s">
        <v>711</v>
      </c>
      <c r="F7" s="10" t="s">
        <v>721</v>
      </c>
      <c r="G7" s="10" t="s">
        <v>722</v>
      </c>
      <c r="H7" s="10"/>
    </row>
    <row r="8">
      <c r="A8" s="9">
        <v>4.0</v>
      </c>
      <c r="B8" s="10" t="s">
        <v>723</v>
      </c>
      <c r="C8" s="10" t="s">
        <v>724</v>
      </c>
      <c r="D8" s="10" t="s">
        <v>725</v>
      </c>
      <c r="E8" s="23" t="s">
        <v>711</v>
      </c>
      <c r="F8" s="10" t="s">
        <v>726</v>
      </c>
      <c r="G8" s="10" t="s">
        <v>727</v>
      </c>
      <c r="H8" s="10"/>
    </row>
    <row r="9">
      <c r="A9" s="9">
        <v>5.0</v>
      </c>
      <c r="B9" s="10" t="s">
        <v>723</v>
      </c>
      <c r="C9" s="10" t="s">
        <v>728</v>
      </c>
      <c r="D9" s="10" t="s">
        <v>729</v>
      </c>
      <c r="E9" s="28" t="s">
        <v>730</v>
      </c>
      <c r="F9" s="10" t="s">
        <v>726</v>
      </c>
      <c r="G9" s="10" t="s">
        <v>731</v>
      </c>
      <c r="H9" s="10"/>
    </row>
    <row r="10">
      <c r="A10" s="9">
        <v>6.0</v>
      </c>
      <c r="B10" s="10" t="s">
        <v>670</v>
      </c>
      <c r="C10" s="10" t="s">
        <v>732</v>
      </c>
      <c r="D10" s="10" t="s">
        <v>733</v>
      </c>
      <c r="E10" s="23" t="s">
        <v>711</v>
      </c>
      <c r="F10" s="10" t="s">
        <v>734</v>
      </c>
      <c r="G10" s="10" t="s">
        <v>735</v>
      </c>
      <c r="H10" s="10"/>
    </row>
    <row r="11">
      <c r="A11" s="9">
        <v>7.0</v>
      </c>
      <c r="B11" s="10" t="s">
        <v>736</v>
      </c>
      <c r="C11" s="10" t="s">
        <v>737</v>
      </c>
      <c r="D11" s="10" t="s">
        <v>738</v>
      </c>
      <c r="E11" s="23" t="s">
        <v>711</v>
      </c>
      <c r="F11" s="10" t="s">
        <v>726</v>
      </c>
      <c r="G11" s="10" t="s">
        <v>739</v>
      </c>
      <c r="H11" s="10"/>
    </row>
    <row r="12">
      <c r="A12" s="9">
        <v>8.0</v>
      </c>
      <c r="B12" s="10" t="s">
        <v>740</v>
      </c>
      <c r="C12" s="10" t="s">
        <v>741</v>
      </c>
      <c r="D12" s="10" t="s">
        <v>742</v>
      </c>
      <c r="E12" s="28" t="s">
        <v>730</v>
      </c>
      <c r="F12" s="10" t="s">
        <v>726</v>
      </c>
      <c r="G12" s="10" t="s">
        <v>743</v>
      </c>
      <c r="H12" s="10"/>
    </row>
    <row r="13">
      <c r="A13" s="9">
        <v>9.0</v>
      </c>
      <c r="B13" s="10" t="s">
        <v>667</v>
      </c>
      <c r="C13" s="10" t="s">
        <v>744</v>
      </c>
      <c r="D13" s="10" t="s">
        <v>745</v>
      </c>
      <c r="E13" s="28" t="s">
        <v>730</v>
      </c>
      <c r="F13" s="10" t="s">
        <v>726</v>
      </c>
      <c r="G13" s="10" t="s">
        <v>746</v>
      </c>
      <c r="H13" s="10"/>
    </row>
    <row r="14">
      <c r="A14" s="9">
        <v>10.0</v>
      </c>
      <c r="B14" s="10" t="s">
        <v>723</v>
      </c>
      <c r="C14" s="10" t="s">
        <v>747</v>
      </c>
      <c r="D14" s="10" t="s">
        <v>748</v>
      </c>
      <c r="E14" s="28" t="s">
        <v>730</v>
      </c>
      <c r="F14" s="10" t="s">
        <v>726</v>
      </c>
      <c r="G14" s="10" t="s">
        <v>749</v>
      </c>
      <c r="H14" s="10"/>
    </row>
    <row r="15">
      <c r="A15" s="9">
        <v>11.0</v>
      </c>
      <c r="B15" s="10" t="s">
        <v>723</v>
      </c>
      <c r="C15" s="10" t="s">
        <v>750</v>
      </c>
      <c r="D15" s="10" t="s">
        <v>751</v>
      </c>
      <c r="E15" s="23" t="s">
        <v>711</v>
      </c>
      <c r="F15" s="10" t="s">
        <v>752</v>
      </c>
      <c r="G15" s="10" t="s">
        <v>753</v>
      </c>
      <c r="H15" s="10"/>
    </row>
    <row r="16">
      <c r="A16" s="9">
        <v>12.0</v>
      </c>
      <c r="B16" s="10" t="s">
        <v>723</v>
      </c>
      <c r="C16" s="10" t="s">
        <v>754</v>
      </c>
      <c r="D16" s="10" t="s">
        <v>755</v>
      </c>
      <c r="E16" s="23" t="s">
        <v>711</v>
      </c>
      <c r="F16" s="10" t="s">
        <v>726</v>
      </c>
      <c r="G16" s="10" t="s">
        <v>753</v>
      </c>
      <c r="H16" s="10"/>
    </row>
    <row r="17">
      <c r="A17" s="9">
        <v>13.0</v>
      </c>
      <c r="B17" s="10" t="s">
        <v>723</v>
      </c>
      <c r="C17" s="10" t="s">
        <v>756</v>
      </c>
      <c r="D17" s="10" t="s">
        <v>757</v>
      </c>
      <c r="E17" s="23" t="s">
        <v>711</v>
      </c>
      <c r="F17" s="10" t="s">
        <v>726</v>
      </c>
      <c r="G17" s="10" t="s">
        <v>758</v>
      </c>
      <c r="H17" s="10"/>
    </row>
    <row r="18">
      <c r="A18" s="9">
        <v>14.0</v>
      </c>
      <c r="B18" s="10" t="s">
        <v>759</v>
      </c>
      <c r="C18" s="10" t="s">
        <v>760</v>
      </c>
      <c r="D18" s="10" t="s">
        <v>761</v>
      </c>
      <c r="E18" s="28" t="s">
        <v>730</v>
      </c>
      <c r="F18" s="10" t="s">
        <v>726</v>
      </c>
      <c r="G18" s="10" t="s">
        <v>749</v>
      </c>
      <c r="H18" s="10"/>
    </row>
    <row r="19">
      <c r="A19" s="9">
        <v>15.0</v>
      </c>
      <c r="B19" s="10" t="s">
        <v>759</v>
      </c>
      <c r="C19" s="10" t="s">
        <v>762</v>
      </c>
      <c r="D19" s="10" t="s">
        <v>763</v>
      </c>
      <c r="E19" s="28" t="s">
        <v>730</v>
      </c>
      <c r="F19" s="10" t="s">
        <v>726</v>
      </c>
      <c r="G19" s="10" t="s">
        <v>749</v>
      </c>
      <c r="H19" s="10"/>
    </row>
    <row r="20">
      <c r="A20" s="9">
        <v>16.0</v>
      </c>
      <c r="B20" s="10" t="s">
        <v>571</v>
      </c>
      <c r="C20" s="10" t="s">
        <v>764</v>
      </c>
      <c r="D20" s="10" t="s">
        <v>765</v>
      </c>
      <c r="E20" s="23" t="s">
        <v>711</v>
      </c>
      <c r="F20" s="10" t="s">
        <v>734</v>
      </c>
      <c r="G20" s="10" t="s">
        <v>749</v>
      </c>
      <c r="H20" s="10"/>
    </row>
    <row r="21" ht="15.75" customHeight="1">
      <c r="A21" s="9">
        <v>17.0</v>
      </c>
      <c r="B21" s="10" t="s">
        <v>571</v>
      </c>
      <c r="C21" s="10" t="s">
        <v>766</v>
      </c>
      <c r="D21" s="10" t="s">
        <v>767</v>
      </c>
      <c r="E21" s="28" t="s">
        <v>730</v>
      </c>
      <c r="F21" s="10" t="s">
        <v>768</v>
      </c>
      <c r="G21" s="10" t="s">
        <v>769</v>
      </c>
      <c r="H21" s="10"/>
    </row>
    <row r="22" ht="15.75" customHeight="1">
      <c r="A22" s="9">
        <v>18.0</v>
      </c>
      <c r="B22" s="10" t="s">
        <v>734</v>
      </c>
      <c r="C22" s="10" t="s">
        <v>770</v>
      </c>
      <c r="D22" s="10" t="s">
        <v>771</v>
      </c>
      <c r="E22" s="28" t="s">
        <v>730</v>
      </c>
      <c r="F22" s="10" t="s">
        <v>772</v>
      </c>
      <c r="G22" s="10" t="s">
        <v>773</v>
      </c>
      <c r="H22" s="10"/>
    </row>
    <row r="23" ht="15.75" customHeight="1">
      <c r="A23" s="9">
        <v>19.0</v>
      </c>
      <c r="B23" s="10" t="s">
        <v>734</v>
      </c>
      <c r="C23" s="10" t="s">
        <v>774</v>
      </c>
      <c r="D23" s="10" t="s">
        <v>775</v>
      </c>
      <c r="E23" s="23" t="s">
        <v>711</v>
      </c>
      <c r="F23" s="10" t="s">
        <v>776</v>
      </c>
      <c r="G23" s="10" t="s">
        <v>769</v>
      </c>
      <c r="H23" s="10"/>
    </row>
    <row r="24" ht="15.75" customHeight="1">
      <c r="A24" s="9">
        <v>20.0</v>
      </c>
      <c r="B24" s="10" t="s">
        <v>734</v>
      </c>
      <c r="C24" s="10" t="s">
        <v>777</v>
      </c>
      <c r="D24" s="10" t="s">
        <v>778</v>
      </c>
      <c r="E24" s="23" t="s">
        <v>711</v>
      </c>
      <c r="F24" s="10" t="s">
        <v>779</v>
      </c>
      <c r="G24" s="10" t="s">
        <v>780</v>
      </c>
      <c r="H24" s="10"/>
    </row>
    <row r="25" ht="15.75" customHeight="1">
      <c r="A25" s="9">
        <v>21.0</v>
      </c>
      <c r="B25" s="10" t="s">
        <v>734</v>
      </c>
      <c r="C25" s="10" t="s">
        <v>781</v>
      </c>
      <c r="D25" s="10" t="s">
        <v>782</v>
      </c>
      <c r="E25" s="28" t="s">
        <v>730</v>
      </c>
      <c r="F25" s="10" t="s">
        <v>734</v>
      </c>
      <c r="G25" s="10" t="s">
        <v>773</v>
      </c>
      <c r="H25" s="10"/>
    </row>
    <row r="26" ht="15.75" customHeight="1">
      <c r="A26" s="9">
        <v>22.0</v>
      </c>
      <c r="B26" s="10" t="s">
        <v>734</v>
      </c>
      <c r="C26" s="10" t="s">
        <v>783</v>
      </c>
      <c r="D26" s="10" t="s">
        <v>784</v>
      </c>
      <c r="E26" s="23" t="s">
        <v>711</v>
      </c>
      <c r="F26" s="10" t="s">
        <v>785</v>
      </c>
      <c r="G26" s="10" t="s">
        <v>718</v>
      </c>
      <c r="H26" s="10"/>
    </row>
    <row r="27" ht="15.75" customHeight="1">
      <c r="A27" s="9">
        <v>23.0</v>
      </c>
      <c r="B27" s="10" t="s">
        <v>734</v>
      </c>
      <c r="C27" s="10" t="s">
        <v>786</v>
      </c>
      <c r="D27" s="10" t="s">
        <v>787</v>
      </c>
      <c r="E27" s="28" t="s">
        <v>730</v>
      </c>
      <c r="F27" s="10" t="s">
        <v>734</v>
      </c>
      <c r="G27" s="10" t="s">
        <v>746</v>
      </c>
      <c r="H27" s="10"/>
    </row>
    <row r="28" ht="15.75" customHeight="1">
      <c r="A28" s="9">
        <v>24.0</v>
      </c>
      <c r="B28" s="10" t="s">
        <v>734</v>
      </c>
      <c r="C28" s="10" t="s">
        <v>517</v>
      </c>
      <c r="D28" s="10" t="s">
        <v>788</v>
      </c>
      <c r="E28" s="28" t="s">
        <v>730</v>
      </c>
      <c r="F28" s="10" t="s">
        <v>734</v>
      </c>
      <c r="G28" s="10" t="s">
        <v>746</v>
      </c>
      <c r="H28" s="10"/>
    </row>
    <row r="29" ht="15.75" customHeight="1">
      <c r="A29" s="9">
        <v>25.0</v>
      </c>
      <c r="B29" s="10" t="s">
        <v>734</v>
      </c>
      <c r="C29" s="10" t="s">
        <v>789</v>
      </c>
      <c r="D29" s="10" t="s">
        <v>790</v>
      </c>
      <c r="E29" s="28" t="s">
        <v>730</v>
      </c>
      <c r="F29" s="10" t="s">
        <v>734</v>
      </c>
      <c r="G29" s="10" t="s">
        <v>746</v>
      </c>
      <c r="H29" s="10"/>
    </row>
    <row r="30" ht="15.75" customHeight="1">
      <c r="A30" s="9">
        <v>26.0</v>
      </c>
      <c r="B30" s="10" t="s">
        <v>670</v>
      </c>
      <c r="C30" s="10" t="s">
        <v>791</v>
      </c>
      <c r="D30" s="10" t="s">
        <v>792</v>
      </c>
      <c r="E30" s="23" t="s">
        <v>711</v>
      </c>
      <c r="F30" s="10" t="s">
        <v>793</v>
      </c>
      <c r="G30" s="10" t="s">
        <v>746</v>
      </c>
      <c r="H30" s="10"/>
    </row>
    <row r="31" ht="15.75" customHeight="1">
      <c r="A31" s="9">
        <v>27.0</v>
      </c>
      <c r="B31" s="10" t="s">
        <v>670</v>
      </c>
      <c r="C31" s="10" t="s">
        <v>794</v>
      </c>
      <c r="D31" s="10" t="s">
        <v>795</v>
      </c>
      <c r="E31" s="28" t="s">
        <v>730</v>
      </c>
      <c r="F31" s="10" t="s">
        <v>796</v>
      </c>
      <c r="G31" s="10" t="s">
        <v>749</v>
      </c>
      <c r="H31" s="10"/>
    </row>
    <row r="32" ht="15.75" customHeight="1">
      <c r="A32" s="9">
        <v>28.0</v>
      </c>
      <c r="B32" s="10" t="s">
        <v>797</v>
      </c>
      <c r="C32" s="10" t="s">
        <v>798</v>
      </c>
      <c r="D32" s="10" t="s">
        <v>799</v>
      </c>
      <c r="E32" s="28" t="s">
        <v>730</v>
      </c>
      <c r="F32" s="10" t="s">
        <v>800</v>
      </c>
      <c r="G32" s="10" t="s">
        <v>801</v>
      </c>
      <c r="H32" s="10"/>
    </row>
    <row r="33" ht="15.75" customHeight="1"/>
    <row r="34" ht="15.75" customHeight="1">
      <c r="A34" s="3" t="s">
        <v>802</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H$32"/>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34.0"/>
    <col customWidth="1" min="3" max="3" width="54.0"/>
    <col customWidth="1" min="4" max="4" width="40.0"/>
    <col customWidth="1" min="5" max="5" width="46.0"/>
    <col customWidth="1" min="6" max="6" width="24.0"/>
    <col customWidth="1" min="7" max="7" width="14.0"/>
    <col customWidth="1" min="8" max="8" width="18.0"/>
    <col customWidth="1" min="9" max="26" width="8.71"/>
  </cols>
  <sheetData>
    <row r="1">
      <c r="A1" s="19" t="s">
        <v>803</v>
      </c>
    </row>
    <row r="2">
      <c r="A2" s="2" t="s">
        <v>804</v>
      </c>
    </row>
    <row r="4" ht="30.0" customHeight="1">
      <c r="A4" s="7" t="s">
        <v>700</v>
      </c>
      <c r="B4" s="7" t="s">
        <v>805</v>
      </c>
      <c r="C4" s="7" t="s">
        <v>806</v>
      </c>
      <c r="D4" s="7" t="s">
        <v>807</v>
      </c>
      <c r="E4" s="7" t="s">
        <v>808</v>
      </c>
      <c r="F4" s="7" t="s">
        <v>809</v>
      </c>
      <c r="G4" s="7" t="s">
        <v>810</v>
      </c>
      <c r="H4" s="7" t="s">
        <v>811</v>
      </c>
    </row>
    <row r="5">
      <c r="A5" s="9">
        <v>1.0</v>
      </c>
      <c r="B5" s="29" t="s">
        <v>812</v>
      </c>
      <c r="C5" s="10" t="s">
        <v>813</v>
      </c>
      <c r="D5" s="10" t="s">
        <v>814</v>
      </c>
      <c r="E5" s="10" t="s">
        <v>815</v>
      </c>
      <c r="F5" s="10" t="s">
        <v>726</v>
      </c>
      <c r="G5" s="23" t="s">
        <v>816</v>
      </c>
      <c r="H5" s="10"/>
    </row>
    <row r="6">
      <c r="A6" s="9">
        <v>2.0</v>
      </c>
      <c r="B6" s="29" t="s">
        <v>817</v>
      </c>
      <c r="C6" s="10" t="s">
        <v>818</v>
      </c>
      <c r="D6" s="10" t="s">
        <v>819</v>
      </c>
      <c r="E6" s="10" t="s">
        <v>820</v>
      </c>
      <c r="F6" s="10" t="s">
        <v>726</v>
      </c>
      <c r="G6" s="23" t="s">
        <v>816</v>
      </c>
      <c r="H6" s="10"/>
    </row>
    <row r="7">
      <c r="A7" s="9">
        <v>3.0</v>
      </c>
      <c r="B7" s="29" t="s">
        <v>821</v>
      </c>
      <c r="C7" s="10" t="s">
        <v>822</v>
      </c>
      <c r="D7" s="10" t="s">
        <v>823</v>
      </c>
      <c r="E7" s="10" t="s">
        <v>824</v>
      </c>
      <c r="F7" s="10" t="s">
        <v>825</v>
      </c>
      <c r="G7" s="23" t="s">
        <v>816</v>
      </c>
      <c r="H7" s="10"/>
    </row>
    <row r="8">
      <c r="A8" s="9">
        <v>4.0</v>
      </c>
      <c r="B8" s="29" t="s">
        <v>826</v>
      </c>
      <c r="C8" s="10" t="s">
        <v>827</v>
      </c>
      <c r="D8" s="10" t="s">
        <v>828</v>
      </c>
      <c r="E8" s="10" t="s">
        <v>829</v>
      </c>
      <c r="F8" s="10" t="s">
        <v>825</v>
      </c>
      <c r="G8" s="23" t="s">
        <v>816</v>
      </c>
      <c r="H8" s="10"/>
    </row>
    <row r="9">
      <c r="A9" s="9">
        <v>5.0</v>
      </c>
      <c r="B9" s="29" t="s">
        <v>830</v>
      </c>
      <c r="C9" s="10" t="s">
        <v>831</v>
      </c>
      <c r="D9" s="10" t="s">
        <v>832</v>
      </c>
      <c r="E9" s="10" t="s">
        <v>833</v>
      </c>
      <c r="F9" s="10" t="s">
        <v>825</v>
      </c>
      <c r="G9" s="23" t="s">
        <v>816</v>
      </c>
      <c r="H9" s="10"/>
    </row>
    <row r="10">
      <c r="A10" s="9">
        <v>6.0</v>
      </c>
      <c r="B10" s="29" t="s">
        <v>834</v>
      </c>
      <c r="C10" s="10" t="s">
        <v>835</v>
      </c>
      <c r="D10" s="10" t="s">
        <v>836</v>
      </c>
      <c r="E10" s="10" t="s">
        <v>837</v>
      </c>
      <c r="F10" s="10" t="s">
        <v>825</v>
      </c>
      <c r="G10" s="23" t="s">
        <v>816</v>
      </c>
      <c r="H10" s="10"/>
    </row>
    <row r="11">
      <c r="A11" s="9">
        <v>7.0</v>
      </c>
      <c r="B11" s="29" t="s">
        <v>838</v>
      </c>
      <c r="C11" s="10" t="s">
        <v>839</v>
      </c>
      <c r="D11" s="10" t="s">
        <v>840</v>
      </c>
      <c r="E11" s="10" t="s">
        <v>841</v>
      </c>
      <c r="F11" s="10" t="s">
        <v>842</v>
      </c>
      <c r="G11" s="28" t="s">
        <v>843</v>
      </c>
      <c r="H11" s="10"/>
    </row>
    <row r="12">
      <c r="A12" s="9">
        <v>8.0</v>
      </c>
      <c r="B12" s="29" t="s">
        <v>844</v>
      </c>
      <c r="C12" s="10" t="s">
        <v>845</v>
      </c>
      <c r="D12" s="10" t="s">
        <v>846</v>
      </c>
      <c r="E12" s="10" t="s">
        <v>847</v>
      </c>
      <c r="F12" s="10" t="s">
        <v>848</v>
      </c>
      <c r="G12" s="28" t="s">
        <v>843</v>
      </c>
      <c r="H12" s="10"/>
    </row>
    <row r="13">
      <c r="A13" s="9">
        <v>9.0</v>
      </c>
      <c r="B13" s="29" t="s">
        <v>849</v>
      </c>
      <c r="C13" s="10" t="s">
        <v>850</v>
      </c>
      <c r="D13" s="10" t="s">
        <v>846</v>
      </c>
      <c r="E13" s="10" t="s">
        <v>851</v>
      </c>
      <c r="F13" s="10" t="s">
        <v>793</v>
      </c>
      <c r="G13" s="28" t="s">
        <v>852</v>
      </c>
      <c r="H13" s="10"/>
    </row>
    <row r="14">
      <c r="A14" s="9">
        <v>10.0</v>
      </c>
      <c r="B14" s="29" t="s">
        <v>853</v>
      </c>
      <c r="C14" s="10" t="s">
        <v>854</v>
      </c>
      <c r="D14" s="10" t="s">
        <v>855</v>
      </c>
      <c r="E14" s="10" t="s">
        <v>856</v>
      </c>
      <c r="F14" s="10" t="s">
        <v>726</v>
      </c>
      <c r="G14" s="28" t="s">
        <v>857</v>
      </c>
      <c r="H14" s="10"/>
    </row>
    <row r="15">
      <c r="A15" s="9">
        <v>11.0</v>
      </c>
      <c r="B15" s="29" t="s">
        <v>858</v>
      </c>
      <c r="C15" s="10" t="s">
        <v>859</v>
      </c>
      <c r="D15" s="10" t="s">
        <v>860</v>
      </c>
      <c r="E15" s="10" t="s">
        <v>861</v>
      </c>
      <c r="F15" s="10" t="s">
        <v>862</v>
      </c>
      <c r="G15" s="28" t="s">
        <v>857</v>
      </c>
      <c r="H15" s="10"/>
    </row>
    <row r="16">
      <c r="A16" s="9">
        <v>12.0</v>
      </c>
      <c r="B16" s="29" t="s">
        <v>863</v>
      </c>
      <c r="C16" s="10" t="s">
        <v>864</v>
      </c>
      <c r="D16" s="10" t="s">
        <v>865</v>
      </c>
      <c r="E16" s="10" t="s">
        <v>866</v>
      </c>
      <c r="F16" s="10" t="s">
        <v>862</v>
      </c>
      <c r="G16" s="28" t="s">
        <v>857</v>
      </c>
      <c r="H16" s="10"/>
    </row>
    <row r="17">
      <c r="A17" s="9">
        <v>13.0</v>
      </c>
      <c r="B17" s="29" t="s">
        <v>867</v>
      </c>
      <c r="C17" s="10" t="s">
        <v>868</v>
      </c>
      <c r="D17" s="10" t="s">
        <v>869</v>
      </c>
      <c r="E17" s="10" t="s">
        <v>870</v>
      </c>
      <c r="F17" s="10" t="s">
        <v>862</v>
      </c>
      <c r="G17" s="28" t="s">
        <v>857</v>
      </c>
      <c r="H17" s="10"/>
    </row>
    <row r="18">
      <c r="A18" s="9">
        <v>14.0</v>
      </c>
      <c r="B18" s="29" t="s">
        <v>871</v>
      </c>
      <c r="C18" s="10" t="s">
        <v>872</v>
      </c>
      <c r="D18" s="10" t="s">
        <v>873</v>
      </c>
      <c r="E18" s="10" t="s">
        <v>874</v>
      </c>
      <c r="F18" s="10" t="s">
        <v>862</v>
      </c>
      <c r="G18" s="28" t="s">
        <v>857</v>
      </c>
      <c r="H18" s="10"/>
    </row>
    <row r="19">
      <c r="A19" s="9">
        <v>15.0</v>
      </c>
      <c r="B19" s="29" t="s">
        <v>875</v>
      </c>
      <c r="C19" s="10" t="s">
        <v>876</v>
      </c>
      <c r="D19" s="10" t="s">
        <v>877</v>
      </c>
      <c r="E19" s="10" t="s">
        <v>878</v>
      </c>
      <c r="F19" s="10" t="s">
        <v>879</v>
      </c>
      <c r="G19" s="23" t="s">
        <v>816</v>
      </c>
      <c r="H19" s="10"/>
    </row>
    <row r="20">
      <c r="A20" s="9">
        <v>16.0</v>
      </c>
      <c r="B20" s="29" t="s">
        <v>880</v>
      </c>
      <c r="C20" s="10" t="s">
        <v>881</v>
      </c>
      <c r="D20" s="10" t="s">
        <v>882</v>
      </c>
      <c r="E20" s="10" t="s">
        <v>883</v>
      </c>
      <c r="F20" s="10" t="s">
        <v>879</v>
      </c>
      <c r="G20" s="23" t="s">
        <v>816</v>
      </c>
      <c r="H20" s="10"/>
    </row>
    <row r="21" ht="15.75" customHeight="1">
      <c r="A21" s="9">
        <v>17.0</v>
      </c>
      <c r="B21" s="29" t="s">
        <v>884</v>
      </c>
      <c r="C21" s="10" t="s">
        <v>885</v>
      </c>
      <c r="D21" s="10" t="s">
        <v>886</v>
      </c>
      <c r="E21" s="10" t="s">
        <v>887</v>
      </c>
      <c r="F21" s="10" t="s">
        <v>726</v>
      </c>
      <c r="G21" s="23" t="s">
        <v>816</v>
      </c>
      <c r="H21" s="10"/>
    </row>
    <row r="22" ht="15.75" customHeight="1">
      <c r="A22" s="9">
        <v>18.0</v>
      </c>
      <c r="B22" s="29" t="s">
        <v>888</v>
      </c>
      <c r="C22" s="10" t="s">
        <v>889</v>
      </c>
      <c r="D22" s="10" t="s">
        <v>890</v>
      </c>
      <c r="E22" s="10" t="s">
        <v>891</v>
      </c>
      <c r="F22" s="10" t="s">
        <v>726</v>
      </c>
      <c r="G22" s="28" t="s">
        <v>693</v>
      </c>
      <c r="H22" s="10"/>
    </row>
    <row r="23" ht="15.75" customHeight="1">
      <c r="A23" s="9">
        <v>19.0</v>
      </c>
      <c r="B23" s="29" t="s">
        <v>892</v>
      </c>
      <c r="C23" s="10" t="s">
        <v>893</v>
      </c>
      <c r="D23" s="10" t="s">
        <v>894</v>
      </c>
      <c r="E23" s="10" t="s">
        <v>895</v>
      </c>
      <c r="F23" s="10" t="s">
        <v>726</v>
      </c>
      <c r="G23" s="23" t="s">
        <v>816</v>
      </c>
      <c r="H23" s="10"/>
    </row>
    <row r="24" ht="15.75" customHeight="1"/>
    <row r="25" ht="15.75" customHeight="1">
      <c r="A25" s="5" t="s">
        <v>896</v>
      </c>
    </row>
    <row r="26" ht="25.5" customHeight="1">
      <c r="A26" s="4" t="s">
        <v>897</v>
      </c>
    </row>
    <row r="27" ht="25.5" customHeight="1">
      <c r="A27" s="4" t="s">
        <v>898</v>
      </c>
    </row>
    <row r="28" ht="25.5" customHeight="1">
      <c r="A28" s="4" t="s">
        <v>899</v>
      </c>
    </row>
    <row r="29" ht="25.5" customHeight="1">
      <c r="A29" s="4" t="s">
        <v>900</v>
      </c>
    </row>
    <row r="30" ht="15.75" customHeight="1"/>
    <row r="31" ht="15.75" customHeight="1">
      <c r="A31" s="5" t="s">
        <v>901</v>
      </c>
    </row>
    <row r="32" ht="25.5" customHeight="1">
      <c r="A32" s="4" t="s">
        <v>902</v>
      </c>
    </row>
    <row r="33" ht="25.5" customHeight="1">
      <c r="A33" s="4" t="s">
        <v>903</v>
      </c>
    </row>
    <row r="34" ht="25.5" customHeight="1">
      <c r="A34" s="4" t="s">
        <v>904</v>
      </c>
    </row>
    <row r="35" ht="25.5" customHeight="1">
      <c r="A35" s="4" t="s">
        <v>905</v>
      </c>
    </row>
    <row r="36" ht="15.75" customHeight="1"/>
    <row r="37" ht="30.0" customHeight="1">
      <c r="A37" s="30" t="s">
        <v>906</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H$23"/>
  <mergeCells count="9">
    <mergeCell ref="A35:F35"/>
    <mergeCell ref="A37:F37"/>
    <mergeCell ref="A26:F26"/>
    <mergeCell ref="A27:F27"/>
    <mergeCell ref="A28:F28"/>
    <mergeCell ref="A29:F29"/>
    <mergeCell ref="A32:F32"/>
    <mergeCell ref="A33:F33"/>
    <mergeCell ref="A34:F34"/>
  </mergeCell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54.0"/>
    <col customWidth="1" min="3" max="3" width="50.0"/>
    <col customWidth="1" min="4" max="4" width="26.0"/>
    <col customWidth="1" min="5" max="5" width="56.0"/>
    <col customWidth="1" min="6" max="26" width="8.71"/>
  </cols>
  <sheetData>
    <row r="1">
      <c r="A1" s="19" t="s">
        <v>907</v>
      </c>
    </row>
    <row r="2">
      <c r="A2" s="2" t="s">
        <v>908</v>
      </c>
    </row>
    <row r="4" ht="30.0" customHeight="1">
      <c r="A4" s="7" t="s">
        <v>909</v>
      </c>
      <c r="B4" s="7" t="s">
        <v>910</v>
      </c>
      <c r="C4" s="7" t="s">
        <v>911</v>
      </c>
      <c r="D4" s="7" t="s">
        <v>810</v>
      </c>
      <c r="E4" s="7" t="s">
        <v>912</v>
      </c>
    </row>
    <row r="5">
      <c r="A5" s="29" t="s">
        <v>913</v>
      </c>
      <c r="B5" s="10" t="s">
        <v>914</v>
      </c>
      <c r="C5" s="10" t="s">
        <v>915</v>
      </c>
      <c r="D5" s="20" t="s">
        <v>916</v>
      </c>
      <c r="E5" s="10" t="s">
        <v>917</v>
      </c>
    </row>
    <row r="6">
      <c r="A6" s="29" t="s">
        <v>918</v>
      </c>
      <c r="B6" s="10" t="s">
        <v>919</v>
      </c>
      <c r="C6" s="10" t="s">
        <v>920</v>
      </c>
      <c r="D6" s="20" t="s">
        <v>916</v>
      </c>
      <c r="E6" s="10" t="s">
        <v>921</v>
      </c>
    </row>
    <row r="7">
      <c r="A7" s="29" t="s">
        <v>922</v>
      </c>
      <c r="B7" s="10" t="s">
        <v>923</v>
      </c>
      <c r="C7" s="10" t="s">
        <v>924</v>
      </c>
      <c r="D7" s="26" t="s">
        <v>925</v>
      </c>
      <c r="E7" s="10" t="s">
        <v>926</v>
      </c>
    </row>
    <row r="8">
      <c r="A8" s="29" t="s">
        <v>927</v>
      </c>
      <c r="B8" s="10" t="s">
        <v>928</v>
      </c>
      <c r="C8" s="10" t="s">
        <v>929</v>
      </c>
      <c r="D8" s="26" t="s">
        <v>925</v>
      </c>
      <c r="E8" s="10" t="s">
        <v>930</v>
      </c>
    </row>
    <row r="9">
      <c r="A9" s="29" t="s">
        <v>931</v>
      </c>
      <c r="B9" s="10" t="s">
        <v>932</v>
      </c>
      <c r="C9" s="10" t="s">
        <v>933</v>
      </c>
      <c r="D9" s="26" t="s">
        <v>925</v>
      </c>
      <c r="E9" s="10" t="s">
        <v>934</v>
      </c>
    </row>
    <row r="10">
      <c r="A10" s="29" t="s">
        <v>935</v>
      </c>
      <c r="B10" s="10" t="s">
        <v>936</v>
      </c>
      <c r="C10" s="10" t="s">
        <v>937</v>
      </c>
      <c r="D10" s="26" t="s">
        <v>925</v>
      </c>
      <c r="E10" s="10" t="s">
        <v>938</v>
      </c>
    </row>
    <row r="11">
      <c r="A11" s="29" t="s">
        <v>939</v>
      </c>
      <c r="B11" s="10" t="s">
        <v>940</v>
      </c>
      <c r="C11" s="10" t="s">
        <v>941</v>
      </c>
      <c r="D11" s="25" t="s">
        <v>816</v>
      </c>
      <c r="E11" s="10" t="s">
        <v>942</v>
      </c>
    </row>
    <row r="12">
      <c r="A12" s="29" t="s">
        <v>943</v>
      </c>
      <c r="B12" s="10" t="s">
        <v>944</v>
      </c>
      <c r="C12" s="10" t="s">
        <v>945</v>
      </c>
      <c r="D12" s="25" t="s">
        <v>816</v>
      </c>
      <c r="E12" s="10" t="s">
        <v>946</v>
      </c>
    </row>
    <row r="13">
      <c r="A13" s="29" t="s">
        <v>947</v>
      </c>
      <c r="B13" s="10" t="s">
        <v>948</v>
      </c>
      <c r="C13" s="10" t="s">
        <v>949</v>
      </c>
      <c r="D13" s="26" t="s">
        <v>925</v>
      </c>
      <c r="E13" s="10" t="s">
        <v>950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56.0"/>
    <col customWidth="1" min="3" max="3" width="62.0"/>
    <col customWidth="1" min="4" max="4" width="22.0"/>
    <col customWidth="1" min="5" max="5" width="40.0"/>
    <col customWidth="1" min="6" max="6" width="16.0"/>
    <col customWidth="1" min="7" max="26" width="8.71"/>
  </cols>
  <sheetData>
    <row r="1">
      <c r="A1" s="19" t="s">
        <v>951</v>
      </c>
    </row>
    <row r="2">
      <c r="A2" s="2" t="s">
        <v>952</v>
      </c>
    </row>
    <row r="4" ht="30.0" customHeight="1">
      <c r="A4" s="7" t="s">
        <v>953</v>
      </c>
      <c r="B4" s="7" t="s">
        <v>954</v>
      </c>
      <c r="C4" s="7" t="s">
        <v>955</v>
      </c>
      <c r="D4" s="7" t="s">
        <v>27</v>
      </c>
      <c r="E4" s="7" t="s">
        <v>956</v>
      </c>
      <c r="F4" s="7" t="s">
        <v>71</v>
      </c>
    </row>
    <row r="5">
      <c r="A5" s="9" t="s">
        <v>957</v>
      </c>
      <c r="B5" s="10" t="s">
        <v>958</v>
      </c>
      <c r="C5" s="10" t="s">
        <v>959</v>
      </c>
      <c r="D5" s="20" t="s">
        <v>31</v>
      </c>
      <c r="E5" s="10"/>
      <c r="F5" s="10"/>
    </row>
    <row r="6">
      <c r="A6" s="9" t="s">
        <v>960</v>
      </c>
      <c r="B6" s="10" t="s">
        <v>961</v>
      </c>
      <c r="C6" s="10" t="s">
        <v>962</v>
      </c>
      <c r="D6" s="20" t="s">
        <v>31</v>
      </c>
      <c r="E6" s="10"/>
      <c r="F6" s="10"/>
    </row>
    <row r="7">
      <c r="A7" s="9" t="s">
        <v>963</v>
      </c>
      <c r="B7" s="10" t="s">
        <v>964</v>
      </c>
      <c r="C7" s="10" t="s">
        <v>965</v>
      </c>
      <c r="D7" s="20" t="s">
        <v>31</v>
      </c>
      <c r="E7" s="10"/>
      <c r="F7" s="10"/>
    </row>
    <row r="8">
      <c r="A8" s="9" t="s">
        <v>963</v>
      </c>
      <c r="B8" s="10" t="s">
        <v>966</v>
      </c>
      <c r="C8" s="10" t="s">
        <v>967</v>
      </c>
      <c r="D8" s="20" t="s">
        <v>31</v>
      </c>
      <c r="E8" s="10"/>
      <c r="F8" s="10"/>
    </row>
    <row r="9">
      <c r="A9" s="9" t="s">
        <v>963</v>
      </c>
      <c r="B9" s="10" t="s">
        <v>968</v>
      </c>
      <c r="C9" s="10" t="s">
        <v>969</v>
      </c>
      <c r="D9" s="20" t="s">
        <v>31</v>
      </c>
      <c r="E9" s="10"/>
      <c r="F9" s="10"/>
    </row>
    <row r="10">
      <c r="A10" s="9" t="s">
        <v>963</v>
      </c>
      <c r="B10" s="10" t="s">
        <v>970</v>
      </c>
      <c r="C10" s="10" t="s">
        <v>971</v>
      </c>
      <c r="D10" s="20" t="s">
        <v>31</v>
      </c>
      <c r="E10" s="10"/>
      <c r="F10" s="10"/>
    </row>
    <row r="11">
      <c r="A11" s="9" t="s">
        <v>963</v>
      </c>
      <c r="B11" s="10" t="s">
        <v>972</v>
      </c>
      <c r="C11" s="10" t="s">
        <v>973</v>
      </c>
      <c r="D11" s="20" t="s">
        <v>31</v>
      </c>
      <c r="E11" s="10"/>
      <c r="F11" s="10"/>
    </row>
    <row r="12">
      <c r="A12" s="9" t="s">
        <v>974</v>
      </c>
      <c r="B12" s="10" t="s">
        <v>975</v>
      </c>
      <c r="C12" s="10" t="s">
        <v>976</v>
      </c>
      <c r="D12" s="20" t="s">
        <v>31</v>
      </c>
      <c r="E12" s="10"/>
      <c r="F12" s="10"/>
    </row>
    <row r="13">
      <c r="A13" s="9" t="s">
        <v>977</v>
      </c>
      <c r="B13" s="10" t="s">
        <v>978</v>
      </c>
      <c r="C13" s="10" t="s">
        <v>979</v>
      </c>
      <c r="D13" s="20" t="s">
        <v>31</v>
      </c>
      <c r="E13" s="10"/>
      <c r="F13" s="10"/>
    </row>
    <row r="14">
      <c r="A14" s="9" t="s">
        <v>977</v>
      </c>
      <c r="B14" s="10" t="s">
        <v>980</v>
      </c>
      <c r="C14" s="10" t="s">
        <v>635</v>
      </c>
      <c r="D14" s="20" t="s">
        <v>31</v>
      </c>
      <c r="E14" s="10"/>
      <c r="F14" s="10"/>
    </row>
    <row r="15">
      <c r="A15" s="9" t="s">
        <v>981</v>
      </c>
      <c r="B15" s="10" t="s">
        <v>982</v>
      </c>
      <c r="C15" s="10" t="s">
        <v>983</v>
      </c>
      <c r="D15" s="20" t="s">
        <v>31</v>
      </c>
      <c r="E15" s="10"/>
      <c r="F15" s="10"/>
    </row>
    <row r="16">
      <c r="A16" s="9" t="s">
        <v>981</v>
      </c>
      <c r="B16" s="10" t="s">
        <v>984</v>
      </c>
      <c r="C16" s="10" t="s">
        <v>985</v>
      </c>
      <c r="D16" s="20" t="s">
        <v>31</v>
      </c>
      <c r="E16" s="10"/>
      <c r="F16" s="10"/>
    </row>
    <row r="17">
      <c r="A17" s="9" t="s">
        <v>986</v>
      </c>
      <c r="B17" s="10" t="s">
        <v>987</v>
      </c>
      <c r="C17" s="10" t="s">
        <v>988</v>
      </c>
      <c r="D17" s="20" t="s">
        <v>31</v>
      </c>
      <c r="E17" s="10"/>
      <c r="F17" s="10"/>
    </row>
    <row r="18">
      <c r="A18" s="9" t="s">
        <v>989</v>
      </c>
      <c r="B18" s="10" t="s">
        <v>990</v>
      </c>
      <c r="C18" s="10" t="s">
        <v>991</v>
      </c>
      <c r="D18" s="20" t="s">
        <v>31</v>
      </c>
      <c r="E18" s="10"/>
      <c r="F18" s="10"/>
    </row>
    <row r="19">
      <c r="A19" s="9" t="s">
        <v>989</v>
      </c>
      <c r="B19" s="10" t="s">
        <v>992</v>
      </c>
      <c r="C19" s="10" t="s">
        <v>993</v>
      </c>
      <c r="D19" s="26" t="s">
        <v>39</v>
      </c>
      <c r="E19" s="10" t="s">
        <v>994</v>
      </c>
      <c r="F19" s="10"/>
    </row>
    <row r="20">
      <c r="A20" s="9" t="s">
        <v>995</v>
      </c>
      <c r="B20" s="10" t="s">
        <v>996</v>
      </c>
      <c r="C20" s="10" t="s">
        <v>997</v>
      </c>
      <c r="D20" s="20" t="s">
        <v>31</v>
      </c>
      <c r="E20" s="10"/>
      <c r="F20" s="10"/>
    </row>
    <row r="21" ht="15.75" customHeight="1">
      <c r="A21" s="9" t="s">
        <v>995</v>
      </c>
      <c r="B21" s="10" t="s">
        <v>998</v>
      </c>
      <c r="C21" s="10" t="s">
        <v>999</v>
      </c>
      <c r="D21" s="26" t="s">
        <v>43</v>
      </c>
      <c r="E21" s="10" t="s">
        <v>1000</v>
      </c>
      <c r="F21" s="10"/>
    </row>
    <row r="22" ht="15.75" customHeight="1">
      <c r="A22" s="9" t="s">
        <v>1001</v>
      </c>
      <c r="B22" s="10" t="s">
        <v>1002</v>
      </c>
      <c r="C22" s="10" t="s">
        <v>1003</v>
      </c>
      <c r="D22" s="20" t="s">
        <v>31</v>
      </c>
      <c r="E22" s="10" t="s">
        <v>1004</v>
      </c>
      <c r="F22" s="10"/>
    </row>
    <row r="23" ht="15.75" customHeight="1">
      <c r="A23" s="9" t="s">
        <v>1005</v>
      </c>
      <c r="B23" s="10" t="s">
        <v>1006</v>
      </c>
      <c r="C23" s="10" t="s">
        <v>1007</v>
      </c>
      <c r="D23" s="20" t="s">
        <v>31</v>
      </c>
      <c r="E23" s="10"/>
      <c r="F23" s="10"/>
    </row>
    <row r="24" ht="15.75" customHeight="1">
      <c r="A24" s="9" t="s">
        <v>1005</v>
      </c>
      <c r="B24" s="10" t="s">
        <v>1008</v>
      </c>
      <c r="C24" s="10" t="s">
        <v>1009</v>
      </c>
      <c r="D24" s="26" t="s">
        <v>43</v>
      </c>
      <c r="E24" s="10" t="s">
        <v>1010</v>
      </c>
      <c r="F24" s="10"/>
    </row>
    <row r="25" ht="15.75" customHeight="1">
      <c r="A25" s="9" t="s">
        <v>1011</v>
      </c>
      <c r="B25" s="10" t="s">
        <v>1012</v>
      </c>
      <c r="C25" s="10" t="s">
        <v>1013</v>
      </c>
      <c r="D25" s="26" t="s">
        <v>39</v>
      </c>
      <c r="E25" s="10" t="s">
        <v>1014</v>
      </c>
      <c r="F25" s="10"/>
    </row>
    <row r="26" ht="15.75" customHeight="1">
      <c r="A26" s="9" t="s">
        <v>1015</v>
      </c>
      <c r="B26" s="10" t="s">
        <v>1016</v>
      </c>
      <c r="C26" s="10" t="s">
        <v>1017</v>
      </c>
      <c r="D26" s="20" t="s">
        <v>31</v>
      </c>
      <c r="E26" s="10"/>
      <c r="F26" s="10"/>
    </row>
    <row r="27" ht="15.75" customHeight="1">
      <c r="A27" s="9" t="s">
        <v>1018</v>
      </c>
      <c r="B27" s="10" t="s">
        <v>1019</v>
      </c>
      <c r="C27" s="10" t="s">
        <v>1020</v>
      </c>
      <c r="D27" s="20" t="s">
        <v>31</v>
      </c>
      <c r="E27" s="10"/>
      <c r="F27" s="1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F$27"/>
  <dataValidations>
    <dataValidation type="list" allowBlank="1" sqref="F5:F27">
      <formula1>"OK,KO,À revoir,Sans objet,Non testé"</formula1>
    </dataValidation>
  </dataValidation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6.0"/>
    <col customWidth="1" min="2" max="2" width="42.0"/>
    <col customWidth="1" min="3" max="3" width="76.0"/>
    <col customWidth="1" min="4" max="4" width="24.0"/>
    <col customWidth="1" min="5" max="5" width="62.0"/>
    <col customWidth="1" min="6" max="26" width="8.71"/>
  </cols>
  <sheetData>
    <row r="1">
      <c r="A1" s="19" t="s">
        <v>1021</v>
      </c>
    </row>
    <row r="2">
      <c r="A2" s="2" t="s">
        <v>1022</v>
      </c>
    </row>
    <row r="4" ht="30.0" customHeight="1">
      <c r="A4" s="16" t="s">
        <v>1023</v>
      </c>
      <c r="B4" s="16" t="s">
        <v>1024</v>
      </c>
      <c r="C4" s="16" t="s">
        <v>1025</v>
      </c>
      <c r="D4" s="16" t="s">
        <v>27</v>
      </c>
      <c r="E4" s="16" t="s">
        <v>1026</v>
      </c>
    </row>
    <row r="5">
      <c r="A5" s="9" t="s">
        <v>1027</v>
      </c>
      <c r="B5" s="29" t="s">
        <v>1028</v>
      </c>
      <c r="C5" s="10" t="s">
        <v>1029</v>
      </c>
      <c r="D5" s="20" t="s">
        <v>1030</v>
      </c>
      <c r="E5" s="10" t="s">
        <v>1031</v>
      </c>
    </row>
    <row r="6">
      <c r="A6" s="9" t="s">
        <v>1032</v>
      </c>
      <c r="B6" s="29" t="s">
        <v>1033</v>
      </c>
      <c r="C6" s="10" t="s">
        <v>1034</v>
      </c>
      <c r="D6" s="20" t="s">
        <v>1030</v>
      </c>
      <c r="E6" s="10" t="s">
        <v>1035</v>
      </c>
    </row>
    <row r="7">
      <c r="A7" s="9" t="s">
        <v>1036</v>
      </c>
      <c r="B7" s="29" t="s">
        <v>1037</v>
      </c>
      <c r="C7" s="10" t="s">
        <v>1038</v>
      </c>
      <c r="D7" s="20" t="s">
        <v>1030</v>
      </c>
      <c r="E7" s="10" t="s">
        <v>1039</v>
      </c>
    </row>
    <row r="8">
      <c r="A8" s="9" t="s">
        <v>1040</v>
      </c>
      <c r="B8" s="29" t="s">
        <v>1041</v>
      </c>
      <c r="C8" s="10" t="s">
        <v>1042</v>
      </c>
      <c r="D8" s="25" t="s">
        <v>1043</v>
      </c>
      <c r="E8" s="10" t="s">
        <v>1044</v>
      </c>
    </row>
    <row r="9">
      <c r="A9" s="9" t="s">
        <v>1045</v>
      </c>
      <c r="B9" s="29" t="s">
        <v>1046</v>
      </c>
      <c r="C9" s="10" t="s">
        <v>1047</v>
      </c>
      <c r="D9" s="20" t="s">
        <v>1030</v>
      </c>
      <c r="E9" s="10" t="s">
        <v>1048</v>
      </c>
    </row>
    <row r="10">
      <c r="A10" s="9" t="s">
        <v>1049</v>
      </c>
      <c r="B10" s="29" t="s">
        <v>1050</v>
      </c>
      <c r="C10" s="10" t="s">
        <v>1051</v>
      </c>
      <c r="D10" s="20" t="s">
        <v>1030</v>
      </c>
      <c r="E10" s="10"/>
    </row>
    <row r="11">
      <c r="A11" s="9" t="s">
        <v>1052</v>
      </c>
      <c r="B11" s="29" t="s">
        <v>1053</v>
      </c>
      <c r="C11" s="10" t="s">
        <v>1054</v>
      </c>
      <c r="D11" s="20" t="s">
        <v>1030</v>
      </c>
      <c r="E11" s="10" t="s">
        <v>1055</v>
      </c>
    </row>
    <row r="12">
      <c r="A12" s="9" t="s">
        <v>1056</v>
      </c>
      <c r="B12" s="29" t="s">
        <v>1057</v>
      </c>
      <c r="C12" s="10" t="s">
        <v>1058</v>
      </c>
      <c r="D12" s="20" t="s">
        <v>1030</v>
      </c>
      <c r="E12" s="10"/>
    </row>
    <row r="14" ht="31.5" customHeight="1">
      <c r="A14" s="4" t="s">
        <v>1059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4:E14"/>
  </mergeCells>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2026-09-02T18:55:51Z</dcterms:created>
  <dc:creator>openpyxl</dc:creator>
</cp:coreProperties>
</file>